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Asset Side" sheetId="2" r:id="rId2"/>
    <sheet name="Waterfall" sheetId="3" r:id="rId3"/>
    <sheet name="Bonds" sheetId="4" r:id="rId4"/>
  </sheets>
  <calcPr calcId="124519" fullCalcOnLoad="1"/>
</workbook>
</file>

<file path=xl/sharedStrings.xml><?xml version="1.0" encoding="utf-8"?>
<sst xmlns="http://schemas.openxmlformats.org/spreadsheetml/2006/main" count="123" uniqueCount="118">
  <si>
    <t>ABS WATERFALL MODEL</t>
  </si>
  <si>
    <t>Change yellow cells to run scenarios</t>
  </si>
  <si>
    <t>POOL</t>
  </si>
  <si>
    <t>Value</t>
  </si>
  <si>
    <t>Pool Balance</t>
  </si>
  <si>
    <t>WAC</t>
  </si>
  <si>
    <t>WAM (months)</t>
  </si>
  <si>
    <t>CPR</t>
  </si>
  <si>
    <t>CDR</t>
  </si>
  <si>
    <t>&lt;-- CHANGE THIS (try 0.02, 0.05, 0.08)</t>
  </si>
  <si>
    <t>Severity</t>
  </si>
  <si>
    <t>TRANCHES</t>
  </si>
  <si>
    <t>Size %</t>
  </si>
  <si>
    <t>Coupon</t>
  </si>
  <si>
    <t>Tranche A (Senior)</t>
  </si>
  <si>
    <t>Tranche B (Mezz)</t>
  </si>
  <si>
    <t>Tranche C (Junior)</t>
  </si>
  <si>
    <t>Equity/Residual</t>
  </si>
  <si>
    <t>N/A</t>
  </si>
  <si>
    <t>CNL Trigger</t>
  </si>
  <si>
    <t>ARD (month)</t>
  </si>
  <si>
    <t>Trust Expense %</t>
  </si>
  <si>
    <t>&lt;-- Annual % of pool (servicing, trustee)</t>
  </si>
  <si>
    <t>Price A</t>
  </si>
  <si>
    <t>Price B</t>
  </si>
  <si>
    <t>Price C</t>
  </si>
  <si>
    <t>OC TARGETS</t>
  </si>
  <si>
    <t>Target</t>
  </si>
  <si>
    <t>A OC Target</t>
  </si>
  <si>
    <t>&lt;-- Pool ≥ A×Target to pay B int</t>
  </si>
  <si>
    <t>B OC Target</t>
  </si>
  <si>
    <t>&lt;-- Pool ≥ (A+B)×Target to pay C int</t>
  </si>
  <si>
    <t>C OC Target</t>
  </si>
  <si>
    <t>&lt;-- Pool ≥ (A+B+C)×Target for excess</t>
  </si>
  <si>
    <t>Force A OC Fail?</t>
  </si>
  <si>
    <t>No</t>
  </si>
  <si>
    <t>&lt;-- Set to "Yes" to see lockouts/cures</t>
  </si>
  <si>
    <t>EXCESS SPREAD ANALYSIS</t>
  </si>
  <si>
    <t>Asset Yield (WAC)</t>
  </si>
  <si>
    <t>&lt;-- What borrowers pay</t>
  </si>
  <si>
    <t>Liability Cost:</t>
  </si>
  <si>
    <t xml:space="preserve">  A Coupon × A Size</t>
  </si>
  <si>
    <t xml:space="preserve">  B Coupon × B Size</t>
  </si>
  <si>
    <t xml:space="preserve">  C Coupon × C Size</t>
  </si>
  <si>
    <t>Wtd Avg Coupon (WAC Liab)</t>
  </si>
  <si>
    <t>&lt;-- What tranches are owed</t>
  </si>
  <si>
    <t>EXCESS SPREAD (annual)</t>
  </si>
  <si>
    <t>Monthly Excess ($)</t>
  </si>
  <si>
    <t>On initial balance</t>
  </si>
  <si>
    <t>EXCESS SPREAD: The "cushion" between asset yield and liability cost.
In normal times → flows to equity/residual.
In turbo mode → redirected to pay down senior principal faster.</t>
  </si>
  <si>
    <t>Month</t>
  </si>
  <si>
    <t>Pool Bal</t>
  </si>
  <si>
    <t>Level Pay</t>
  </si>
  <si>
    <t>Sched Pmt</t>
  </si>
  <si>
    <t>Sched Int</t>
  </si>
  <si>
    <t>Sched Prin</t>
  </si>
  <si>
    <t>Prepay</t>
  </si>
  <si>
    <t>Default</t>
  </si>
  <si>
    <t>Loss</t>
  </si>
  <si>
    <t>Int Coll</t>
  </si>
  <si>
    <t>Prin Coll</t>
  </si>
  <si>
    <t>Cum Loss</t>
  </si>
  <si>
    <t>CNL%</t>
  </si>
  <si>
    <t>Date</t>
  </si>
  <si>
    <t>Pool Beg</t>
  </si>
  <si>
    <t>Avail Funds</t>
  </si>
  <si>
    <t>Expenses</t>
  </si>
  <si>
    <t>A OC?</t>
  </si>
  <si>
    <t>A Int Pd</t>
  </si>
  <si>
    <t>A Prin Pd</t>
  </si>
  <si>
    <t>A Bal</t>
  </si>
  <si>
    <t>B OC?</t>
  </si>
  <si>
    <t>B Int Pd</t>
  </si>
  <si>
    <t>B Prin Pd</t>
  </si>
  <si>
    <t>B Bal</t>
  </si>
  <si>
    <t>C OC?</t>
  </si>
  <si>
    <t>C Int Pd</t>
  </si>
  <si>
    <t>C Prin Pd</t>
  </si>
  <si>
    <t>C Bal</t>
  </si>
  <si>
    <t>Excess</t>
  </si>
  <si>
    <t>Equity</t>
  </si>
  <si>
    <t>Check</t>
  </si>
  <si>
    <t>A CF</t>
  </si>
  <si>
    <t>B CF</t>
  </si>
  <si>
    <t>C CF</t>
  </si>
  <si>
    <t>OK</t>
  </si>
  <si>
    <t>BOND RETURNS</t>
  </si>
  <si>
    <t>Metric</t>
  </si>
  <si>
    <t>Tranche A</t>
  </si>
  <si>
    <t>Tranche B</t>
  </si>
  <si>
    <t>Tranche C</t>
  </si>
  <si>
    <t>Initial Balance</t>
  </si>
  <si>
    <t>Purchase Price</t>
  </si>
  <si>
    <t>Investment ($)</t>
  </si>
  <si>
    <t>Total CF Received</t>
  </si>
  <si>
    <t>PnL</t>
  </si>
  <si>
    <t>XIRR</t>
  </si>
  <si>
    <t>MOIC</t>
  </si>
  <si>
    <t>WAL (years)</t>
  </si>
  <si>
    <t>Principal Received</t>
  </si>
  <si>
    <t>Ending Balance</t>
  </si>
  <si>
    <t>Principal Loss</t>
  </si>
  <si>
    <t>Recovery Price</t>
  </si>
  <si>
    <t>CREDIT ENHANCEMENT</t>
  </si>
  <si>
    <t>Initial CE %</t>
  </si>
  <si>
    <t>Initial CE $</t>
  </si>
  <si>
    <t>Remaining CE $</t>
  </si>
  <si>
    <t>Remaining CE %</t>
  </si>
  <si>
    <t>Saturated?</t>
  </si>
  <si>
    <t>DIAGNOSTICS</t>
  </si>
  <si>
    <t>Pool CNL</t>
  </si>
  <si>
    <t>A OC Fail Months</t>
  </si>
  <si>
    <t>B OC Fail Months</t>
  </si>
  <si>
    <t>C OC Fail Months</t>
  </si>
  <si>
    <t>Cash Check Errors</t>
  </si>
  <si>
    <t>Total Trust Expenses</t>
  </si>
  <si>
    <t>ASSUMPTIONS</t>
  </si>
  <si>
    <t>Change CDR (Inputs!C10) to stress test.
Trust Expense (C21) defaults to 0.50% annual.
OC fail OR post-ARD → excess turbos to senior principal.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</si>
</sst>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0.00%"/>
    <numFmt numFmtId="166" formatCode="$#,##0"/>
    <numFmt numFmtId="167" formatCode="yyyy-mm-dd"/>
    <numFmt numFmtId="168" formatCode="0.00x"/>
    <numFmt numFmtId="169" formatCode="0.00"/>
  </numFmts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9"/>
      <color rgb="FF065F46"/>
      <name val="Calibri"/>
      <family val="2"/>
      <scheme val="minor"/>
    </font>
    <font>
      <sz val="11"/>
      <color rgb="FF166534"/>
      <name val="Calibri"/>
      <family val="2"/>
      <scheme val="minor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34E4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BE185D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E6F4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164" fontId="0" fillId="4" borderId="2" xfId="0" applyNumberFormat="1" applyFill="1" applyBorder="1"/>
    <xf numFmtId="165" fontId="0" fillId="4" borderId="2" xfId="0" applyNumberFormat="1" applyFill="1" applyBorder="1"/>
    <xf numFmtId="0" fontId="0" fillId="4" borderId="2" xfId="0" applyFill="1" applyBorder="1"/>
    <xf numFmtId="165" fontId="0" fillId="5" borderId="1" xfId="0" applyNumberFormat="1" applyFill="1" applyBorder="1"/>
    <xf numFmtId="0" fontId="5" fillId="5" borderId="1" xfId="0" applyFont="1" applyFill="1" applyBorder="1"/>
    <xf numFmtId="0" fontId="6" fillId="0" borderId="0" xfId="0" applyFont="1"/>
    <xf numFmtId="0" fontId="3" fillId="6" borderId="1" xfId="0" applyFont="1" applyFill="1" applyBorder="1"/>
    <xf numFmtId="165" fontId="0" fillId="7" borderId="1" xfId="0" applyNumberFormat="1" applyFill="1" applyBorder="1"/>
    <xf numFmtId="165" fontId="4" fillId="8" borderId="2" xfId="0" applyNumberFormat="1" applyFont="1" applyFill="1" applyBorder="1"/>
    <xf numFmtId="166" fontId="4" fillId="8" borderId="2" xfId="0" applyNumberFormat="1" applyFont="1" applyFill="1" applyBorder="1"/>
    <xf numFmtId="0" fontId="7" fillId="9" borderId="1" xfId="0" applyFont="1" applyFill="1" applyBorder="1" applyAlignment="1">
      <alignment vertical="top" wrapText="1"/>
    </xf>
    <xf numFmtId="166" fontId="0" fillId="0" borderId="1" xfId="0" applyNumberFormat="1" applyBorder="1"/>
    <xf numFmtId="165" fontId="0" fillId="0" borderId="1" xfId="0" applyNumberFormat="1" applyBorder="1"/>
    <xf numFmtId="167" fontId="0" fillId="0" borderId="0" xfId="0" applyNumberFormat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8" fillId="14" borderId="1" xfId="0" applyFont="1" applyFill="1" applyBorder="1"/>
    <xf numFmtId="166" fontId="0" fillId="15" borderId="1" xfId="0" applyNumberFormat="1" applyFill="1" applyBorder="1"/>
    <xf numFmtId="166" fontId="0" fillId="8" borderId="1" xfId="0" applyNumberFormat="1" applyFill="1" applyBorder="1"/>
    <xf numFmtId="166" fontId="0" fillId="16" borderId="1" xfId="0" applyNumberFormat="1" applyFill="1" applyBorder="1"/>
    <xf numFmtId="0" fontId="0" fillId="14" borderId="1" xfId="0" applyFill="1" applyBorder="1"/>
    <xf numFmtId="167" fontId="0" fillId="0" borderId="1" xfId="0" applyNumberFormat="1" applyBorder="1"/>
    <xf numFmtId="164" fontId="0" fillId="5" borderId="1" xfId="0" applyNumberFormat="1" applyFill="1" applyBorder="1"/>
    <xf numFmtId="165" fontId="4" fillId="17" borderId="2" xfId="0" applyNumberFormat="1" applyFont="1" applyFill="1" applyBorder="1"/>
    <xf numFmtId="168" fontId="4" fillId="18" borderId="1" xfId="0" applyNumberFormat="1" applyFont="1" applyFill="1" applyBorder="1"/>
    <xf numFmtId="169" fontId="4" fillId="8" borderId="2" xfId="0" applyNumberFormat="1" applyFont="1" applyFill="1" applyBorder="1"/>
    <xf numFmtId="0" fontId="3" fillId="19" borderId="1" xfId="0" applyFont="1" applyFill="1" applyBorder="1"/>
    <xf numFmtId="165" fontId="4" fillId="18" borderId="1" xfId="0" applyNumberFormat="1" applyFont="1" applyFill="1" applyBorder="1"/>
    <xf numFmtId="0" fontId="4" fillId="20" borderId="1" xfId="0" applyFont="1" applyFill="1" applyBorder="1"/>
    <xf numFmtId="0" fontId="3" fillId="21" borderId="1" xfId="0" applyFont="1" applyFill="1" applyBorder="1"/>
    <xf numFmtId="0" fontId="0" fillId="20" borderId="1" xfId="0" applyFill="1" applyBorder="1"/>
    <xf numFmtId="0" fontId="9" fillId="15" borderId="1" xfId="0" applyFont="1" applyFill="1" applyBorder="1"/>
    <xf numFmtId="0" fontId="9" fillId="2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46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15.7109375" customWidth="1"/>
    <col min="4" max="4" width="35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3" t="s">
        <v>2</v>
      </c>
      <c r="C5" s="3" t="s">
        <v>3</v>
      </c>
    </row>
    <row r="6" spans="2:4">
      <c r="B6" s="4" t="s">
        <v>4</v>
      </c>
      <c r="C6" s="5">
        <v>100000000</v>
      </c>
    </row>
    <row r="7" spans="2:4">
      <c r="B7" s="4" t="s">
        <v>5</v>
      </c>
      <c r="C7" s="6">
        <v>0.08</v>
      </c>
    </row>
    <row r="8" spans="2:4">
      <c r="B8" s="4" t="s">
        <v>6</v>
      </c>
      <c r="C8" s="7">
        <v>60</v>
      </c>
    </row>
    <row r="9" spans="2:4">
      <c r="B9" s="4" t="s">
        <v>7</v>
      </c>
      <c r="C9" s="6">
        <v>0.1</v>
      </c>
    </row>
    <row r="10" spans="2:4">
      <c r="B10" s="4" t="s">
        <v>8</v>
      </c>
      <c r="C10" s="6">
        <v>0.02</v>
      </c>
      <c r="D10" t="s">
        <v>9</v>
      </c>
    </row>
    <row r="11" spans="2:4">
      <c r="B11" s="4" t="s">
        <v>10</v>
      </c>
      <c r="C11" s="6">
        <v>0.4</v>
      </c>
    </row>
    <row r="13" spans="2:4">
      <c r="B13" s="3" t="s">
        <v>11</v>
      </c>
      <c r="C13" s="3" t="s">
        <v>12</v>
      </c>
      <c r="D13" s="3" t="s">
        <v>13</v>
      </c>
    </row>
    <row r="14" spans="2:4">
      <c r="B14" s="4" t="s">
        <v>14</v>
      </c>
      <c r="C14" s="6">
        <v>0.8</v>
      </c>
      <c r="D14" s="6">
        <v>0.05</v>
      </c>
    </row>
    <row r="15" spans="2:4">
      <c r="B15" s="4" t="s">
        <v>15</v>
      </c>
      <c r="C15" s="6">
        <v>0.12</v>
      </c>
      <c r="D15" s="6">
        <v>0.07000000000000001</v>
      </c>
    </row>
    <row r="16" spans="2:4">
      <c r="B16" s="4" t="s">
        <v>16</v>
      </c>
      <c r="C16" s="6">
        <v>0.05</v>
      </c>
      <c r="D16" s="6">
        <v>0.1</v>
      </c>
    </row>
    <row r="17" spans="2:4">
      <c r="B17" s="4" t="s">
        <v>17</v>
      </c>
      <c r="C17" s="8">
        <f>1-C14-C15-C16</f>
        <v>0</v>
      </c>
      <c r="D17" s="9" t="s">
        <v>18</v>
      </c>
    </row>
    <row r="19" spans="2:4">
      <c r="B19" s="4" t="s">
        <v>19</v>
      </c>
      <c r="C19" s="6">
        <v>0.05</v>
      </c>
    </row>
    <row r="20" spans="2:4">
      <c r="B20" s="4" t="s">
        <v>20</v>
      </c>
      <c r="C20" s="7">
        <v>36</v>
      </c>
    </row>
    <row r="21" spans="2:4">
      <c r="B21" s="4" t="s">
        <v>21</v>
      </c>
      <c r="C21" s="6">
        <v>0.005</v>
      </c>
      <c r="D21" s="10" t="s">
        <v>22</v>
      </c>
    </row>
    <row r="22" spans="2:4">
      <c r="B22" s="4" t="s">
        <v>23</v>
      </c>
      <c r="C22" s="7">
        <v>98</v>
      </c>
    </row>
    <row r="23" spans="2:4">
      <c r="B23" s="4" t="s">
        <v>24</v>
      </c>
      <c r="C23" s="7">
        <v>90</v>
      </c>
    </row>
    <row r="24" spans="2:4">
      <c r="B24" s="4" t="s">
        <v>25</v>
      </c>
      <c r="C24" s="7">
        <v>70</v>
      </c>
    </row>
    <row r="26" spans="2:4">
      <c r="B26" s="3" t="s">
        <v>26</v>
      </c>
      <c r="C26" s="3" t="s">
        <v>27</v>
      </c>
      <c r="D26" s="3"/>
    </row>
    <row r="27" spans="2:4">
      <c r="B27" s="4" t="s">
        <v>28</v>
      </c>
      <c r="C27" s="6">
        <v>1</v>
      </c>
      <c r="D27" s="10" t="s">
        <v>29</v>
      </c>
    </row>
    <row r="28" spans="2:4">
      <c r="B28" s="4" t="s">
        <v>30</v>
      </c>
      <c r="C28" s="6">
        <v>1.05</v>
      </c>
      <c r="D28" s="10" t="s">
        <v>31</v>
      </c>
    </row>
    <row r="29" spans="2:4">
      <c r="B29" s="4" t="s">
        <v>32</v>
      </c>
      <c r="C29" s="6">
        <v>1.15</v>
      </c>
      <c r="D29" s="10" t="s">
        <v>33</v>
      </c>
    </row>
    <row r="31" spans="2:4">
      <c r="B31" s="4" t="s">
        <v>34</v>
      </c>
      <c r="C31" s="7" t="s">
        <v>35</v>
      </c>
      <c r="D31" s="10" t="s">
        <v>36</v>
      </c>
    </row>
    <row r="33" spans="2:4">
      <c r="B33" s="11" t="s">
        <v>37</v>
      </c>
      <c r="C33" s="11"/>
      <c r="D33" s="11"/>
    </row>
    <row r="34" spans="2:4">
      <c r="B34" s="4" t="s">
        <v>38</v>
      </c>
      <c r="C34" s="12">
        <f>$C$7</f>
        <v>0</v>
      </c>
      <c r="D34" s="10" t="s">
        <v>39</v>
      </c>
    </row>
    <row r="35" spans="2:4">
      <c r="B35" s="4" t="s">
        <v>40</v>
      </c>
      <c r="C35" s="4"/>
    </row>
    <row r="36" spans="2:4">
      <c r="B36" s="4" t="s">
        <v>41</v>
      </c>
      <c r="C36" s="12">
        <f>$D$14*$C$14</f>
        <v>0</v>
      </c>
    </row>
    <row r="37" spans="2:4">
      <c r="B37" s="4" t="s">
        <v>42</v>
      </c>
      <c r="C37" s="12">
        <f>$D$15*$C$15</f>
        <v>0</v>
      </c>
    </row>
    <row r="38" spans="2:4">
      <c r="B38" s="4" t="s">
        <v>43</v>
      </c>
      <c r="C38" s="12">
        <f>$D$16*$C$16</f>
        <v>0</v>
      </c>
    </row>
    <row r="39" spans="2:4">
      <c r="B39" s="4" t="s">
        <v>44</v>
      </c>
      <c r="C39" s="12">
        <f>C36+C37+C38</f>
        <v>0</v>
      </c>
      <c r="D39" s="10" t="s">
        <v>45</v>
      </c>
    </row>
    <row r="40" spans="2:4">
      <c r="B40" s="4"/>
    </row>
    <row r="41" spans="2:4">
      <c r="B41" s="4" t="s">
        <v>46</v>
      </c>
      <c r="C41" s="13">
        <f>C34-C39</f>
        <v>0</v>
      </c>
    </row>
    <row r="42" spans="2:4">
      <c r="B42" s="4" t="s">
        <v>47</v>
      </c>
      <c r="C42" s="14">
        <f>$C$6*C41/12</f>
        <v>0</v>
      </c>
      <c r="D42" s="10" t="s">
        <v>48</v>
      </c>
    </row>
    <row r="44" spans="2:4">
      <c r="B44" s="15" t="s">
        <v>49</v>
      </c>
      <c r="C44" s="15"/>
      <c r="D44" s="15"/>
    </row>
    <row r="45" spans="2:4">
      <c r="B45" s="15"/>
      <c r="C45" s="15"/>
      <c r="D45" s="15"/>
    </row>
    <row r="46" spans="2:4">
      <c r="B46" s="15"/>
      <c r="C46" s="15"/>
      <c r="D46" s="15"/>
    </row>
  </sheetData>
  <mergeCells count="1">
    <mergeCell ref="B44:D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4" width="11.7109375" customWidth="1"/>
  </cols>
  <sheetData>
    <row r="1" spans="1:14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</row>
    <row r="2" spans="1:14">
      <c r="A2">
        <v>0</v>
      </c>
      <c r="B2" s="16">
        <f>Inputs!$C$6</f>
        <v>0</v>
      </c>
      <c r="C2" s="16">
        <f>-PMT(Inputs!$C$7/12, Inputs!$C$8, Inputs!$C$6)</f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7">
        <v>0</v>
      </c>
      <c r="N2" s="18">
        <f>DATE(2025,1,1)</f>
        <v>0</v>
      </c>
    </row>
    <row r="3" spans="1:14">
      <c r="A3">
        <v>1</v>
      </c>
      <c r="B3" s="16">
        <f>MAX(0, B2-F3-G3-H3)</f>
        <v>0</v>
      </c>
      <c r="C3" s="16">
        <f>IF(B2-H3&gt;0, -PMT(Inputs!$C$7/12, MAX(1, Inputs!$C$8-A3+1), B2-H3), 0)</f>
        <v>0</v>
      </c>
      <c r="D3" s="16">
        <f>C3</f>
        <v>0</v>
      </c>
      <c r="E3" s="16">
        <f>(B2-H3)*Inputs!$C$7/12</f>
        <v>0</v>
      </c>
      <c r="F3" s="16">
        <f>IF(B2-H3&gt;0, MIN(B2-H3, MAX(0, D3-E3)), 0)</f>
        <v>0</v>
      </c>
      <c r="G3" s="16">
        <f>MAX(0, (B2-H3-F3))*(1-(1-Inputs!$C$9)^(1/12))</f>
        <v>0</v>
      </c>
      <c r="H3" s="16">
        <f>B2*(1-(1-Inputs!$C$10)^(1/12))</f>
        <v>0</v>
      </c>
      <c r="I3" s="16">
        <f>H3*Inputs!$C$11</f>
        <v>0</v>
      </c>
      <c r="J3" s="16">
        <f>E3</f>
        <v>0</v>
      </c>
      <c r="K3" s="16">
        <f>F3+G3+H3*(1-Inputs!$C$11)</f>
        <v>0</v>
      </c>
      <c r="L3" s="16">
        <f>L2+I3</f>
        <v>0</v>
      </c>
      <c r="M3" s="17">
        <f>L3/Inputs!$C$6</f>
        <v>0</v>
      </c>
      <c r="N3" s="18">
        <f>EDATE($N$2, A3)</f>
        <v>0</v>
      </c>
    </row>
    <row r="4" spans="1:14">
      <c r="A4">
        <v>2</v>
      </c>
      <c r="B4" s="16">
        <f>MAX(0, B3-F4-G4-H4)</f>
        <v>0</v>
      </c>
      <c r="C4" s="16">
        <f>IF(B3-H4&gt;0, -PMT(Inputs!$C$7/12, MAX(1, Inputs!$C$8-A4+1), B3-H4), 0)</f>
        <v>0</v>
      </c>
      <c r="D4" s="16">
        <f>C4</f>
        <v>0</v>
      </c>
      <c r="E4" s="16">
        <f>(B3-H4)*Inputs!$C$7/12</f>
        <v>0</v>
      </c>
      <c r="F4" s="16">
        <f>IF(B3-H4&gt;0, MIN(B3-H4, MAX(0, D4-E4)), 0)</f>
        <v>0</v>
      </c>
      <c r="G4" s="16">
        <f>MAX(0, (B3-H4-F4))*(1-(1-Inputs!$C$9)^(1/12))</f>
        <v>0</v>
      </c>
      <c r="H4" s="16">
        <f>B3*(1-(1-Inputs!$C$10)^(1/12))</f>
        <v>0</v>
      </c>
      <c r="I4" s="16">
        <f>H4*Inputs!$C$11</f>
        <v>0</v>
      </c>
      <c r="J4" s="16">
        <f>E4</f>
        <v>0</v>
      </c>
      <c r="K4" s="16">
        <f>F4+G4+H4*(1-Inputs!$C$11)</f>
        <v>0</v>
      </c>
      <c r="L4" s="16">
        <f>L3+I4</f>
        <v>0</v>
      </c>
      <c r="M4" s="17">
        <f>L4/Inputs!$C$6</f>
        <v>0</v>
      </c>
      <c r="N4" s="18">
        <f>EDATE($N$2, A4)</f>
        <v>0</v>
      </c>
    </row>
    <row r="5" spans="1:14">
      <c r="A5">
        <v>3</v>
      </c>
      <c r="B5" s="16">
        <f>MAX(0, B4-F5-G5-H5)</f>
        <v>0</v>
      </c>
      <c r="C5" s="16">
        <f>IF(B4-H5&gt;0, -PMT(Inputs!$C$7/12, MAX(1, Inputs!$C$8-A5+1), B4-H5), 0)</f>
        <v>0</v>
      </c>
      <c r="D5" s="16">
        <f>C5</f>
        <v>0</v>
      </c>
      <c r="E5" s="16">
        <f>(B4-H5)*Inputs!$C$7/12</f>
        <v>0</v>
      </c>
      <c r="F5" s="16">
        <f>IF(B4-H5&gt;0, MIN(B4-H5, MAX(0, D5-E5)), 0)</f>
        <v>0</v>
      </c>
      <c r="G5" s="16">
        <f>MAX(0, (B4-H5-F5))*(1-(1-Inputs!$C$9)^(1/12))</f>
        <v>0</v>
      </c>
      <c r="H5" s="16">
        <f>B4*(1-(1-Inputs!$C$10)^(1/12))</f>
        <v>0</v>
      </c>
      <c r="I5" s="16">
        <f>H5*Inputs!$C$11</f>
        <v>0</v>
      </c>
      <c r="J5" s="16">
        <f>E5</f>
        <v>0</v>
      </c>
      <c r="K5" s="16">
        <f>F5+G5+H5*(1-Inputs!$C$11)</f>
        <v>0</v>
      </c>
      <c r="L5" s="16">
        <f>L4+I5</f>
        <v>0</v>
      </c>
      <c r="M5" s="17">
        <f>L5/Inputs!$C$6</f>
        <v>0</v>
      </c>
      <c r="N5" s="18">
        <f>EDATE($N$2, A5)</f>
        <v>0</v>
      </c>
    </row>
    <row r="6" spans="1:14">
      <c r="A6">
        <v>4</v>
      </c>
      <c r="B6" s="16">
        <f>MAX(0, B5-F6-G6-H6)</f>
        <v>0</v>
      </c>
      <c r="C6" s="16">
        <f>IF(B5-H6&gt;0, -PMT(Inputs!$C$7/12, MAX(1, Inputs!$C$8-A6+1), B5-H6), 0)</f>
        <v>0</v>
      </c>
      <c r="D6" s="16">
        <f>C6</f>
        <v>0</v>
      </c>
      <c r="E6" s="16">
        <f>(B5-H6)*Inputs!$C$7/12</f>
        <v>0</v>
      </c>
      <c r="F6" s="16">
        <f>IF(B5-H6&gt;0, MIN(B5-H6, MAX(0, D6-E6)), 0)</f>
        <v>0</v>
      </c>
      <c r="G6" s="16">
        <f>MAX(0, (B5-H6-F6))*(1-(1-Inputs!$C$9)^(1/12))</f>
        <v>0</v>
      </c>
      <c r="H6" s="16">
        <f>B5*(1-(1-Inputs!$C$10)^(1/12))</f>
        <v>0</v>
      </c>
      <c r="I6" s="16">
        <f>H6*Inputs!$C$11</f>
        <v>0</v>
      </c>
      <c r="J6" s="16">
        <f>E6</f>
        <v>0</v>
      </c>
      <c r="K6" s="16">
        <f>F6+G6+H6*(1-Inputs!$C$11)</f>
        <v>0</v>
      </c>
      <c r="L6" s="16">
        <f>L5+I6</f>
        <v>0</v>
      </c>
      <c r="M6" s="17">
        <f>L6/Inputs!$C$6</f>
        <v>0</v>
      </c>
      <c r="N6" s="18">
        <f>EDATE($N$2, A6)</f>
        <v>0</v>
      </c>
    </row>
    <row r="7" spans="1:14">
      <c r="A7">
        <v>5</v>
      </c>
      <c r="B7" s="16">
        <f>MAX(0, B6-F7-G7-H7)</f>
        <v>0</v>
      </c>
      <c r="C7" s="16">
        <f>IF(B6-H7&gt;0, -PMT(Inputs!$C$7/12, MAX(1, Inputs!$C$8-A7+1), B6-H7), 0)</f>
        <v>0</v>
      </c>
      <c r="D7" s="16">
        <f>C7</f>
        <v>0</v>
      </c>
      <c r="E7" s="16">
        <f>(B6-H7)*Inputs!$C$7/12</f>
        <v>0</v>
      </c>
      <c r="F7" s="16">
        <f>IF(B6-H7&gt;0, MIN(B6-H7, MAX(0, D7-E7)), 0)</f>
        <v>0</v>
      </c>
      <c r="G7" s="16">
        <f>MAX(0, (B6-H7-F7))*(1-(1-Inputs!$C$9)^(1/12))</f>
        <v>0</v>
      </c>
      <c r="H7" s="16">
        <f>B6*(1-(1-Inputs!$C$10)^(1/12))</f>
        <v>0</v>
      </c>
      <c r="I7" s="16">
        <f>H7*Inputs!$C$11</f>
        <v>0</v>
      </c>
      <c r="J7" s="16">
        <f>E7</f>
        <v>0</v>
      </c>
      <c r="K7" s="16">
        <f>F7+G7+H7*(1-Inputs!$C$11)</f>
        <v>0</v>
      </c>
      <c r="L7" s="16">
        <f>L6+I7</f>
        <v>0</v>
      </c>
      <c r="M7" s="17">
        <f>L7/Inputs!$C$6</f>
        <v>0</v>
      </c>
      <c r="N7" s="18">
        <f>EDATE($N$2, A7)</f>
        <v>0</v>
      </c>
    </row>
    <row r="8" spans="1:14">
      <c r="A8">
        <v>6</v>
      </c>
      <c r="B8" s="16">
        <f>MAX(0, B7-F8-G8-H8)</f>
        <v>0</v>
      </c>
      <c r="C8" s="16">
        <f>IF(B7-H8&gt;0, -PMT(Inputs!$C$7/12, MAX(1, Inputs!$C$8-A8+1), B7-H8), 0)</f>
        <v>0</v>
      </c>
      <c r="D8" s="16">
        <f>C8</f>
        <v>0</v>
      </c>
      <c r="E8" s="16">
        <f>(B7-H8)*Inputs!$C$7/12</f>
        <v>0</v>
      </c>
      <c r="F8" s="16">
        <f>IF(B7-H8&gt;0, MIN(B7-H8, MAX(0, D8-E8)), 0)</f>
        <v>0</v>
      </c>
      <c r="G8" s="16">
        <f>MAX(0, (B7-H8-F8))*(1-(1-Inputs!$C$9)^(1/12))</f>
        <v>0</v>
      </c>
      <c r="H8" s="16">
        <f>B7*(1-(1-Inputs!$C$10)^(1/12))</f>
        <v>0</v>
      </c>
      <c r="I8" s="16">
        <f>H8*Inputs!$C$11</f>
        <v>0</v>
      </c>
      <c r="J8" s="16">
        <f>E8</f>
        <v>0</v>
      </c>
      <c r="K8" s="16">
        <f>F8+G8+H8*(1-Inputs!$C$11)</f>
        <v>0</v>
      </c>
      <c r="L8" s="16">
        <f>L7+I8</f>
        <v>0</v>
      </c>
      <c r="M8" s="17">
        <f>L8/Inputs!$C$6</f>
        <v>0</v>
      </c>
      <c r="N8" s="18">
        <f>EDATE($N$2, A8)</f>
        <v>0</v>
      </c>
    </row>
    <row r="9" spans="1:14">
      <c r="A9">
        <v>7</v>
      </c>
      <c r="B9" s="16">
        <f>MAX(0, B8-F9-G9-H9)</f>
        <v>0</v>
      </c>
      <c r="C9" s="16">
        <f>IF(B8-H9&gt;0, -PMT(Inputs!$C$7/12, MAX(1, Inputs!$C$8-A9+1), B8-H9), 0)</f>
        <v>0</v>
      </c>
      <c r="D9" s="16">
        <f>C9</f>
        <v>0</v>
      </c>
      <c r="E9" s="16">
        <f>(B8-H9)*Inputs!$C$7/12</f>
        <v>0</v>
      </c>
      <c r="F9" s="16">
        <f>IF(B8-H9&gt;0, MIN(B8-H9, MAX(0, D9-E9)), 0)</f>
        <v>0</v>
      </c>
      <c r="G9" s="16">
        <f>MAX(0, (B8-H9-F9))*(1-(1-Inputs!$C$9)^(1/12))</f>
        <v>0</v>
      </c>
      <c r="H9" s="16">
        <f>B8*(1-(1-Inputs!$C$10)^(1/12))</f>
        <v>0</v>
      </c>
      <c r="I9" s="16">
        <f>H9*Inputs!$C$11</f>
        <v>0</v>
      </c>
      <c r="J9" s="16">
        <f>E9</f>
        <v>0</v>
      </c>
      <c r="K9" s="16">
        <f>F9+G9+H9*(1-Inputs!$C$11)</f>
        <v>0</v>
      </c>
      <c r="L9" s="16">
        <f>L8+I9</f>
        <v>0</v>
      </c>
      <c r="M9" s="17">
        <f>L9/Inputs!$C$6</f>
        <v>0</v>
      </c>
      <c r="N9" s="18">
        <f>EDATE($N$2, A9)</f>
        <v>0</v>
      </c>
    </row>
    <row r="10" spans="1:14">
      <c r="A10">
        <v>8</v>
      </c>
      <c r="B10" s="16">
        <f>MAX(0, B9-F10-G10-H10)</f>
        <v>0</v>
      </c>
      <c r="C10" s="16">
        <f>IF(B9-H10&gt;0, -PMT(Inputs!$C$7/12, MAX(1, Inputs!$C$8-A10+1), B9-H10), 0)</f>
        <v>0</v>
      </c>
      <c r="D10" s="16">
        <f>C10</f>
        <v>0</v>
      </c>
      <c r="E10" s="16">
        <f>(B9-H10)*Inputs!$C$7/12</f>
        <v>0</v>
      </c>
      <c r="F10" s="16">
        <f>IF(B9-H10&gt;0, MIN(B9-H10, MAX(0, D10-E10)), 0)</f>
        <v>0</v>
      </c>
      <c r="G10" s="16">
        <f>MAX(0, (B9-H10-F10))*(1-(1-Inputs!$C$9)^(1/12))</f>
        <v>0</v>
      </c>
      <c r="H10" s="16">
        <f>B9*(1-(1-Inputs!$C$10)^(1/12))</f>
        <v>0</v>
      </c>
      <c r="I10" s="16">
        <f>H10*Inputs!$C$11</f>
        <v>0</v>
      </c>
      <c r="J10" s="16">
        <f>E10</f>
        <v>0</v>
      </c>
      <c r="K10" s="16">
        <f>F10+G10+H10*(1-Inputs!$C$11)</f>
        <v>0</v>
      </c>
      <c r="L10" s="16">
        <f>L9+I10</f>
        <v>0</v>
      </c>
      <c r="M10" s="17">
        <f>L10/Inputs!$C$6</f>
        <v>0</v>
      </c>
      <c r="N10" s="18">
        <f>EDATE($N$2, A10)</f>
        <v>0</v>
      </c>
    </row>
    <row r="11" spans="1:14">
      <c r="A11">
        <v>9</v>
      </c>
      <c r="B11" s="16">
        <f>MAX(0, B10-F11-G11-H11)</f>
        <v>0</v>
      </c>
      <c r="C11" s="16">
        <f>IF(B10-H11&gt;0, -PMT(Inputs!$C$7/12, MAX(1, Inputs!$C$8-A11+1), B10-H11), 0)</f>
        <v>0</v>
      </c>
      <c r="D11" s="16">
        <f>C11</f>
        <v>0</v>
      </c>
      <c r="E11" s="16">
        <f>(B10-H11)*Inputs!$C$7/12</f>
        <v>0</v>
      </c>
      <c r="F11" s="16">
        <f>IF(B10-H11&gt;0, MIN(B10-H11, MAX(0, D11-E11)), 0)</f>
        <v>0</v>
      </c>
      <c r="G11" s="16">
        <f>MAX(0, (B10-H11-F11))*(1-(1-Inputs!$C$9)^(1/12))</f>
        <v>0</v>
      </c>
      <c r="H11" s="16">
        <f>B10*(1-(1-Inputs!$C$10)^(1/12))</f>
        <v>0</v>
      </c>
      <c r="I11" s="16">
        <f>H11*Inputs!$C$11</f>
        <v>0</v>
      </c>
      <c r="J11" s="16">
        <f>E11</f>
        <v>0</v>
      </c>
      <c r="K11" s="16">
        <f>F11+G11+H11*(1-Inputs!$C$11)</f>
        <v>0</v>
      </c>
      <c r="L11" s="16">
        <f>L10+I11</f>
        <v>0</v>
      </c>
      <c r="M11" s="17">
        <f>L11/Inputs!$C$6</f>
        <v>0</v>
      </c>
      <c r="N11" s="18">
        <f>EDATE($N$2, A11)</f>
        <v>0</v>
      </c>
    </row>
    <row r="12" spans="1:14">
      <c r="A12">
        <v>10</v>
      </c>
      <c r="B12" s="16">
        <f>MAX(0, B11-F12-G12-H12)</f>
        <v>0</v>
      </c>
      <c r="C12" s="16">
        <f>IF(B11-H12&gt;0, -PMT(Inputs!$C$7/12, MAX(1, Inputs!$C$8-A12+1), B11-H12), 0)</f>
        <v>0</v>
      </c>
      <c r="D12" s="16">
        <f>C12</f>
        <v>0</v>
      </c>
      <c r="E12" s="16">
        <f>(B11-H12)*Inputs!$C$7/12</f>
        <v>0</v>
      </c>
      <c r="F12" s="16">
        <f>IF(B11-H12&gt;0, MIN(B11-H12, MAX(0, D12-E12)), 0)</f>
        <v>0</v>
      </c>
      <c r="G12" s="16">
        <f>MAX(0, (B11-H12-F12))*(1-(1-Inputs!$C$9)^(1/12))</f>
        <v>0</v>
      </c>
      <c r="H12" s="16">
        <f>B11*(1-(1-Inputs!$C$10)^(1/12))</f>
        <v>0</v>
      </c>
      <c r="I12" s="16">
        <f>H12*Inputs!$C$11</f>
        <v>0</v>
      </c>
      <c r="J12" s="16">
        <f>E12</f>
        <v>0</v>
      </c>
      <c r="K12" s="16">
        <f>F12+G12+H12*(1-Inputs!$C$11)</f>
        <v>0</v>
      </c>
      <c r="L12" s="16">
        <f>L11+I12</f>
        <v>0</v>
      </c>
      <c r="M12" s="17">
        <f>L12/Inputs!$C$6</f>
        <v>0</v>
      </c>
      <c r="N12" s="18">
        <f>EDATE($N$2, A12)</f>
        <v>0</v>
      </c>
    </row>
    <row r="13" spans="1:14">
      <c r="A13">
        <v>11</v>
      </c>
      <c r="B13" s="16">
        <f>MAX(0, B12-F13-G13-H13)</f>
        <v>0</v>
      </c>
      <c r="C13" s="16">
        <f>IF(B12-H13&gt;0, -PMT(Inputs!$C$7/12, MAX(1, Inputs!$C$8-A13+1), B12-H13), 0)</f>
        <v>0</v>
      </c>
      <c r="D13" s="16">
        <f>C13</f>
        <v>0</v>
      </c>
      <c r="E13" s="16">
        <f>(B12-H13)*Inputs!$C$7/12</f>
        <v>0</v>
      </c>
      <c r="F13" s="16">
        <f>IF(B12-H13&gt;0, MIN(B12-H13, MAX(0, D13-E13)), 0)</f>
        <v>0</v>
      </c>
      <c r="G13" s="16">
        <f>MAX(0, (B12-H13-F13))*(1-(1-Inputs!$C$9)^(1/12))</f>
        <v>0</v>
      </c>
      <c r="H13" s="16">
        <f>B12*(1-(1-Inputs!$C$10)^(1/12))</f>
        <v>0</v>
      </c>
      <c r="I13" s="16">
        <f>H13*Inputs!$C$11</f>
        <v>0</v>
      </c>
      <c r="J13" s="16">
        <f>E13</f>
        <v>0</v>
      </c>
      <c r="K13" s="16">
        <f>F13+G13+H13*(1-Inputs!$C$11)</f>
        <v>0</v>
      </c>
      <c r="L13" s="16">
        <f>L12+I13</f>
        <v>0</v>
      </c>
      <c r="M13" s="17">
        <f>L13/Inputs!$C$6</f>
        <v>0</v>
      </c>
      <c r="N13" s="18">
        <f>EDATE($N$2, A13)</f>
        <v>0</v>
      </c>
    </row>
    <row r="14" spans="1:14">
      <c r="A14">
        <v>12</v>
      </c>
      <c r="B14" s="16">
        <f>MAX(0, B13-F14-G14-H14)</f>
        <v>0</v>
      </c>
      <c r="C14" s="16">
        <f>IF(B13-H14&gt;0, -PMT(Inputs!$C$7/12, MAX(1, Inputs!$C$8-A14+1), B13-H14), 0)</f>
        <v>0</v>
      </c>
      <c r="D14" s="16">
        <f>C14</f>
        <v>0</v>
      </c>
      <c r="E14" s="16">
        <f>(B13-H14)*Inputs!$C$7/12</f>
        <v>0</v>
      </c>
      <c r="F14" s="16">
        <f>IF(B13-H14&gt;0, MIN(B13-H14, MAX(0, D14-E14)), 0)</f>
        <v>0</v>
      </c>
      <c r="G14" s="16">
        <f>MAX(0, (B13-H14-F14))*(1-(1-Inputs!$C$9)^(1/12))</f>
        <v>0</v>
      </c>
      <c r="H14" s="16">
        <f>B13*(1-(1-Inputs!$C$10)^(1/12))</f>
        <v>0</v>
      </c>
      <c r="I14" s="16">
        <f>H14*Inputs!$C$11</f>
        <v>0</v>
      </c>
      <c r="J14" s="16">
        <f>E14</f>
        <v>0</v>
      </c>
      <c r="K14" s="16">
        <f>F14+G14+H14*(1-Inputs!$C$11)</f>
        <v>0</v>
      </c>
      <c r="L14" s="16">
        <f>L13+I14</f>
        <v>0</v>
      </c>
      <c r="M14" s="17">
        <f>L14/Inputs!$C$6</f>
        <v>0</v>
      </c>
      <c r="N14" s="18">
        <f>EDATE($N$2, A14)</f>
        <v>0</v>
      </c>
    </row>
    <row r="15" spans="1:14">
      <c r="A15">
        <v>13</v>
      </c>
      <c r="B15" s="16">
        <f>MAX(0, B14-F15-G15-H15)</f>
        <v>0</v>
      </c>
      <c r="C15" s="16">
        <f>IF(B14-H15&gt;0, -PMT(Inputs!$C$7/12, MAX(1, Inputs!$C$8-A15+1), B14-H15), 0)</f>
        <v>0</v>
      </c>
      <c r="D15" s="16">
        <f>C15</f>
        <v>0</v>
      </c>
      <c r="E15" s="16">
        <f>(B14-H15)*Inputs!$C$7/12</f>
        <v>0</v>
      </c>
      <c r="F15" s="16">
        <f>IF(B14-H15&gt;0, MIN(B14-H15, MAX(0, D15-E15)), 0)</f>
        <v>0</v>
      </c>
      <c r="G15" s="16">
        <f>MAX(0, (B14-H15-F15))*(1-(1-Inputs!$C$9)^(1/12))</f>
        <v>0</v>
      </c>
      <c r="H15" s="16">
        <f>B14*(1-(1-Inputs!$C$10)^(1/12))</f>
        <v>0</v>
      </c>
      <c r="I15" s="16">
        <f>H15*Inputs!$C$11</f>
        <v>0</v>
      </c>
      <c r="J15" s="16">
        <f>E15</f>
        <v>0</v>
      </c>
      <c r="K15" s="16">
        <f>F15+G15+H15*(1-Inputs!$C$11)</f>
        <v>0</v>
      </c>
      <c r="L15" s="16">
        <f>L14+I15</f>
        <v>0</v>
      </c>
      <c r="M15" s="17">
        <f>L15/Inputs!$C$6</f>
        <v>0</v>
      </c>
      <c r="N15" s="18">
        <f>EDATE($N$2, A15)</f>
        <v>0</v>
      </c>
    </row>
    <row r="16" spans="1:14">
      <c r="A16">
        <v>14</v>
      </c>
      <c r="B16" s="16">
        <f>MAX(0, B15-F16-G16-H16)</f>
        <v>0</v>
      </c>
      <c r="C16" s="16">
        <f>IF(B15-H16&gt;0, -PMT(Inputs!$C$7/12, MAX(1, Inputs!$C$8-A16+1), B15-H16), 0)</f>
        <v>0</v>
      </c>
      <c r="D16" s="16">
        <f>C16</f>
        <v>0</v>
      </c>
      <c r="E16" s="16">
        <f>(B15-H16)*Inputs!$C$7/12</f>
        <v>0</v>
      </c>
      <c r="F16" s="16">
        <f>IF(B15-H16&gt;0, MIN(B15-H16, MAX(0, D16-E16)), 0)</f>
        <v>0</v>
      </c>
      <c r="G16" s="16">
        <f>MAX(0, (B15-H16-F16))*(1-(1-Inputs!$C$9)^(1/12))</f>
        <v>0</v>
      </c>
      <c r="H16" s="16">
        <f>B15*(1-(1-Inputs!$C$10)^(1/12))</f>
        <v>0</v>
      </c>
      <c r="I16" s="16">
        <f>H16*Inputs!$C$11</f>
        <v>0</v>
      </c>
      <c r="J16" s="16">
        <f>E16</f>
        <v>0</v>
      </c>
      <c r="K16" s="16">
        <f>F16+G16+H16*(1-Inputs!$C$11)</f>
        <v>0</v>
      </c>
      <c r="L16" s="16">
        <f>L15+I16</f>
        <v>0</v>
      </c>
      <c r="M16" s="17">
        <f>L16/Inputs!$C$6</f>
        <v>0</v>
      </c>
      <c r="N16" s="18">
        <f>EDATE($N$2, A16)</f>
        <v>0</v>
      </c>
    </row>
    <row r="17" spans="1:14">
      <c r="A17">
        <v>15</v>
      </c>
      <c r="B17" s="16">
        <f>MAX(0, B16-F17-G17-H17)</f>
        <v>0</v>
      </c>
      <c r="C17" s="16">
        <f>IF(B16-H17&gt;0, -PMT(Inputs!$C$7/12, MAX(1, Inputs!$C$8-A17+1), B16-H17), 0)</f>
        <v>0</v>
      </c>
      <c r="D17" s="16">
        <f>C17</f>
        <v>0</v>
      </c>
      <c r="E17" s="16">
        <f>(B16-H17)*Inputs!$C$7/12</f>
        <v>0</v>
      </c>
      <c r="F17" s="16">
        <f>IF(B16-H17&gt;0, MIN(B16-H17, MAX(0, D17-E17)), 0)</f>
        <v>0</v>
      </c>
      <c r="G17" s="16">
        <f>MAX(0, (B16-H17-F17))*(1-(1-Inputs!$C$9)^(1/12))</f>
        <v>0</v>
      </c>
      <c r="H17" s="16">
        <f>B16*(1-(1-Inputs!$C$10)^(1/12))</f>
        <v>0</v>
      </c>
      <c r="I17" s="16">
        <f>H17*Inputs!$C$11</f>
        <v>0</v>
      </c>
      <c r="J17" s="16">
        <f>E17</f>
        <v>0</v>
      </c>
      <c r="K17" s="16">
        <f>F17+G17+H17*(1-Inputs!$C$11)</f>
        <v>0</v>
      </c>
      <c r="L17" s="16">
        <f>L16+I17</f>
        <v>0</v>
      </c>
      <c r="M17" s="17">
        <f>L17/Inputs!$C$6</f>
        <v>0</v>
      </c>
      <c r="N17" s="18">
        <f>EDATE($N$2, A17)</f>
        <v>0</v>
      </c>
    </row>
    <row r="18" spans="1:14">
      <c r="A18">
        <v>16</v>
      </c>
      <c r="B18" s="16">
        <f>MAX(0, B17-F18-G18-H18)</f>
        <v>0</v>
      </c>
      <c r="C18" s="16">
        <f>IF(B17-H18&gt;0, -PMT(Inputs!$C$7/12, MAX(1, Inputs!$C$8-A18+1), B17-H18), 0)</f>
        <v>0</v>
      </c>
      <c r="D18" s="16">
        <f>C18</f>
        <v>0</v>
      </c>
      <c r="E18" s="16">
        <f>(B17-H18)*Inputs!$C$7/12</f>
        <v>0</v>
      </c>
      <c r="F18" s="16">
        <f>IF(B17-H18&gt;0, MIN(B17-H18, MAX(0, D18-E18)), 0)</f>
        <v>0</v>
      </c>
      <c r="G18" s="16">
        <f>MAX(0, (B17-H18-F18))*(1-(1-Inputs!$C$9)^(1/12))</f>
        <v>0</v>
      </c>
      <c r="H18" s="16">
        <f>B17*(1-(1-Inputs!$C$10)^(1/12))</f>
        <v>0</v>
      </c>
      <c r="I18" s="16">
        <f>H18*Inputs!$C$11</f>
        <v>0</v>
      </c>
      <c r="J18" s="16">
        <f>E18</f>
        <v>0</v>
      </c>
      <c r="K18" s="16">
        <f>F18+G18+H18*(1-Inputs!$C$11)</f>
        <v>0</v>
      </c>
      <c r="L18" s="16">
        <f>L17+I18</f>
        <v>0</v>
      </c>
      <c r="M18" s="17">
        <f>L18/Inputs!$C$6</f>
        <v>0</v>
      </c>
      <c r="N18" s="18">
        <f>EDATE($N$2, A18)</f>
        <v>0</v>
      </c>
    </row>
    <row r="19" spans="1:14">
      <c r="A19">
        <v>17</v>
      </c>
      <c r="B19" s="16">
        <f>MAX(0, B18-F19-G19-H19)</f>
        <v>0</v>
      </c>
      <c r="C19" s="16">
        <f>IF(B18-H19&gt;0, -PMT(Inputs!$C$7/12, MAX(1, Inputs!$C$8-A19+1), B18-H19), 0)</f>
        <v>0</v>
      </c>
      <c r="D19" s="16">
        <f>C19</f>
        <v>0</v>
      </c>
      <c r="E19" s="16">
        <f>(B18-H19)*Inputs!$C$7/12</f>
        <v>0</v>
      </c>
      <c r="F19" s="16">
        <f>IF(B18-H19&gt;0, MIN(B18-H19, MAX(0, D19-E19)), 0)</f>
        <v>0</v>
      </c>
      <c r="G19" s="16">
        <f>MAX(0, (B18-H19-F19))*(1-(1-Inputs!$C$9)^(1/12))</f>
        <v>0</v>
      </c>
      <c r="H19" s="16">
        <f>B18*(1-(1-Inputs!$C$10)^(1/12))</f>
        <v>0</v>
      </c>
      <c r="I19" s="16">
        <f>H19*Inputs!$C$11</f>
        <v>0</v>
      </c>
      <c r="J19" s="16">
        <f>E19</f>
        <v>0</v>
      </c>
      <c r="K19" s="16">
        <f>F19+G19+H19*(1-Inputs!$C$11)</f>
        <v>0</v>
      </c>
      <c r="L19" s="16">
        <f>L18+I19</f>
        <v>0</v>
      </c>
      <c r="M19" s="17">
        <f>L19/Inputs!$C$6</f>
        <v>0</v>
      </c>
      <c r="N19" s="18">
        <f>EDATE($N$2, A19)</f>
        <v>0</v>
      </c>
    </row>
    <row r="20" spans="1:14">
      <c r="A20">
        <v>18</v>
      </c>
      <c r="B20" s="16">
        <f>MAX(0, B19-F20-G20-H20)</f>
        <v>0</v>
      </c>
      <c r="C20" s="16">
        <f>IF(B19-H20&gt;0, -PMT(Inputs!$C$7/12, MAX(1, Inputs!$C$8-A20+1), B19-H20), 0)</f>
        <v>0</v>
      </c>
      <c r="D20" s="16">
        <f>C20</f>
        <v>0</v>
      </c>
      <c r="E20" s="16">
        <f>(B19-H20)*Inputs!$C$7/12</f>
        <v>0</v>
      </c>
      <c r="F20" s="16">
        <f>IF(B19-H20&gt;0, MIN(B19-H20, MAX(0, D20-E20)), 0)</f>
        <v>0</v>
      </c>
      <c r="G20" s="16">
        <f>MAX(0, (B19-H20-F20))*(1-(1-Inputs!$C$9)^(1/12))</f>
        <v>0</v>
      </c>
      <c r="H20" s="16">
        <f>B19*(1-(1-Inputs!$C$10)^(1/12))</f>
        <v>0</v>
      </c>
      <c r="I20" s="16">
        <f>H20*Inputs!$C$11</f>
        <v>0</v>
      </c>
      <c r="J20" s="16">
        <f>E20</f>
        <v>0</v>
      </c>
      <c r="K20" s="16">
        <f>F20+G20+H20*(1-Inputs!$C$11)</f>
        <v>0</v>
      </c>
      <c r="L20" s="16">
        <f>L19+I20</f>
        <v>0</v>
      </c>
      <c r="M20" s="17">
        <f>L20/Inputs!$C$6</f>
        <v>0</v>
      </c>
      <c r="N20" s="18">
        <f>EDATE($N$2, A20)</f>
        <v>0</v>
      </c>
    </row>
    <row r="21" spans="1:14">
      <c r="A21">
        <v>19</v>
      </c>
      <c r="B21" s="16">
        <f>MAX(0, B20-F21-G21-H21)</f>
        <v>0</v>
      </c>
      <c r="C21" s="16">
        <f>IF(B20-H21&gt;0, -PMT(Inputs!$C$7/12, MAX(1, Inputs!$C$8-A21+1), B20-H21), 0)</f>
        <v>0</v>
      </c>
      <c r="D21" s="16">
        <f>C21</f>
        <v>0</v>
      </c>
      <c r="E21" s="16">
        <f>(B20-H21)*Inputs!$C$7/12</f>
        <v>0</v>
      </c>
      <c r="F21" s="16">
        <f>IF(B20-H21&gt;0, MIN(B20-H21, MAX(0, D21-E21)), 0)</f>
        <v>0</v>
      </c>
      <c r="G21" s="16">
        <f>MAX(0, (B20-H21-F21))*(1-(1-Inputs!$C$9)^(1/12))</f>
        <v>0</v>
      </c>
      <c r="H21" s="16">
        <f>B20*(1-(1-Inputs!$C$10)^(1/12))</f>
        <v>0</v>
      </c>
      <c r="I21" s="16">
        <f>H21*Inputs!$C$11</f>
        <v>0</v>
      </c>
      <c r="J21" s="16">
        <f>E21</f>
        <v>0</v>
      </c>
      <c r="K21" s="16">
        <f>F21+G21+H21*(1-Inputs!$C$11)</f>
        <v>0</v>
      </c>
      <c r="L21" s="16">
        <f>L20+I21</f>
        <v>0</v>
      </c>
      <c r="M21" s="17">
        <f>L21/Inputs!$C$6</f>
        <v>0</v>
      </c>
      <c r="N21" s="18">
        <f>EDATE($N$2, A21)</f>
        <v>0</v>
      </c>
    </row>
    <row r="22" spans="1:14">
      <c r="A22">
        <v>20</v>
      </c>
      <c r="B22" s="16">
        <f>MAX(0, B21-F22-G22-H22)</f>
        <v>0</v>
      </c>
      <c r="C22" s="16">
        <f>IF(B21-H22&gt;0, -PMT(Inputs!$C$7/12, MAX(1, Inputs!$C$8-A22+1), B21-H22), 0)</f>
        <v>0</v>
      </c>
      <c r="D22" s="16">
        <f>C22</f>
        <v>0</v>
      </c>
      <c r="E22" s="16">
        <f>(B21-H22)*Inputs!$C$7/12</f>
        <v>0</v>
      </c>
      <c r="F22" s="16">
        <f>IF(B21-H22&gt;0, MIN(B21-H22, MAX(0, D22-E22)), 0)</f>
        <v>0</v>
      </c>
      <c r="G22" s="16">
        <f>MAX(0, (B21-H22-F22))*(1-(1-Inputs!$C$9)^(1/12))</f>
        <v>0</v>
      </c>
      <c r="H22" s="16">
        <f>B21*(1-(1-Inputs!$C$10)^(1/12))</f>
        <v>0</v>
      </c>
      <c r="I22" s="16">
        <f>H22*Inputs!$C$11</f>
        <v>0</v>
      </c>
      <c r="J22" s="16">
        <f>E22</f>
        <v>0</v>
      </c>
      <c r="K22" s="16">
        <f>F22+G22+H22*(1-Inputs!$C$11)</f>
        <v>0</v>
      </c>
      <c r="L22" s="16">
        <f>L21+I22</f>
        <v>0</v>
      </c>
      <c r="M22" s="17">
        <f>L22/Inputs!$C$6</f>
        <v>0</v>
      </c>
      <c r="N22" s="18">
        <f>EDATE($N$2, A22)</f>
        <v>0</v>
      </c>
    </row>
    <row r="23" spans="1:14">
      <c r="A23">
        <v>21</v>
      </c>
      <c r="B23" s="16">
        <f>MAX(0, B22-F23-G23-H23)</f>
        <v>0</v>
      </c>
      <c r="C23" s="16">
        <f>IF(B22-H23&gt;0, -PMT(Inputs!$C$7/12, MAX(1, Inputs!$C$8-A23+1), B22-H23), 0)</f>
        <v>0</v>
      </c>
      <c r="D23" s="16">
        <f>C23</f>
        <v>0</v>
      </c>
      <c r="E23" s="16">
        <f>(B22-H23)*Inputs!$C$7/12</f>
        <v>0</v>
      </c>
      <c r="F23" s="16">
        <f>IF(B22-H23&gt;0, MIN(B22-H23, MAX(0, D23-E23)), 0)</f>
        <v>0</v>
      </c>
      <c r="G23" s="16">
        <f>MAX(0, (B22-H23-F23))*(1-(1-Inputs!$C$9)^(1/12))</f>
        <v>0</v>
      </c>
      <c r="H23" s="16">
        <f>B22*(1-(1-Inputs!$C$10)^(1/12))</f>
        <v>0</v>
      </c>
      <c r="I23" s="16">
        <f>H23*Inputs!$C$11</f>
        <v>0</v>
      </c>
      <c r="J23" s="16">
        <f>E23</f>
        <v>0</v>
      </c>
      <c r="K23" s="16">
        <f>F23+G23+H23*(1-Inputs!$C$11)</f>
        <v>0</v>
      </c>
      <c r="L23" s="16">
        <f>L22+I23</f>
        <v>0</v>
      </c>
      <c r="M23" s="17">
        <f>L23/Inputs!$C$6</f>
        <v>0</v>
      </c>
      <c r="N23" s="18">
        <f>EDATE($N$2, A23)</f>
        <v>0</v>
      </c>
    </row>
    <row r="24" spans="1:14">
      <c r="A24">
        <v>22</v>
      </c>
      <c r="B24" s="16">
        <f>MAX(0, B23-F24-G24-H24)</f>
        <v>0</v>
      </c>
      <c r="C24" s="16">
        <f>IF(B23-H24&gt;0, -PMT(Inputs!$C$7/12, MAX(1, Inputs!$C$8-A24+1), B23-H24), 0)</f>
        <v>0</v>
      </c>
      <c r="D24" s="16">
        <f>C24</f>
        <v>0</v>
      </c>
      <c r="E24" s="16">
        <f>(B23-H24)*Inputs!$C$7/12</f>
        <v>0</v>
      </c>
      <c r="F24" s="16">
        <f>IF(B23-H24&gt;0, MIN(B23-H24, MAX(0, D24-E24)), 0)</f>
        <v>0</v>
      </c>
      <c r="G24" s="16">
        <f>MAX(0, (B23-H24-F24))*(1-(1-Inputs!$C$9)^(1/12))</f>
        <v>0</v>
      </c>
      <c r="H24" s="16">
        <f>B23*(1-(1-Inputs!$C$10)^(1/12))</f>
        <v>0</v>
      </c>
      <c r="I24" s="16">
        <f>H24*Inputs!$C$11</f>
        <v>0</v>
      </c>
      <c r="J24" s="16">
        <f>E24</f>
        <v>0</v>
      </c>
      <c r="K24" s="16">
        <f>F24+G24+H24*(1-Inputs!$C$11)</f>
        <v>0</v>
      </c>
      <c r="L24" s="16">
        <f>L23+I24</f>
        <v>0</v>
      </c>
      <c r="M24" s="17">
        <f>L24/Inputs!$C$6</f>
        <v>0</v>
      </c>
      <c r="N24" s="18">
        <f>EDATE($N$2, A24)</f>
        <v>0</v>
      </c>
    </row>
    <row r="25" spans="1:14">
      <c r="A25">
        <v>23</v>
      </c>
      <c r="B25" s="16">
        <f>MAX(0, B24-F25-G25-H25)</f>
        <v>0</v>
      </c>
      <c r="C25" s="16">
        <f>IF(B24-H25&gt;0, -PMT(Inputs!$C$7/12, MAX(1, Inputs!$C$8-A25+1), B24-H25), 0)</f>
        <v>0</v>
      </c>
      <c r="D25" s="16">
        <f>C25</f>
        <v>0</v>
      </c>
      <c r="E25" s="16">
        <f>(B24-H25)*Inputs!$C$7/12</f>
        <v>0</v>
      </c>
      <c r="F25" s="16">
        <f>IF(B24-H25&gt;0, MIN(B24-H25, MAX(0, D25-E25)), 0)</f>
        <v>0</v>
      </c>
      <c r="G25" s="16">
        <f>MAX(0, (B24-H25-F25))*(1-(1-Inputs!$C$9)^(1/12))</f>
        <v>0</v>
      </c>
      <c r="H25" s="16">
        <f>B24*(1-(1-Inputs!$C$10)^(1/12))</f>
        <v>0</v>
      </c>
      <c r="I25" s="16">
        <f>H25*Inputs!$C$11</f>
        <v>0</v>
      </c>
      <c r="J25" s="16">
        <f>E25</f>
        <v>0</v>
      </c>
      <c r="K25" s="16">
        <f>F25+G25+H25*(1-Inputs!$C$11)</f>
        <v>0</v>
      </c>
      <c r="L25" s="16">
        <f>L24+I25</f>
        <v>0</v>
      </c>
      <c r="M25" s="17">
        <f>L25/Inputs!$C$6</f>
        <v>0</v>
      </c>
      <c r="N25" s="18">
        <f>EDATE($N$2, A25)</f>
        <v>0</v>
      </c>
    </row>
    <row r="26" spans="1:14">
      <c r="A26">
        <v>24</v>
      </c>
      <c r="B26" s="16">
        <f>MAX(0, B25-F26-G26-H26)</f>
        <v>0</v>
      </c>
      <c r="C26" s="16">
        <f>IF(B25-H26&gt;0, -PMT(Inputs!$C$7/12, MAX(1, Inputs!$C$8-A26+1), B25-H26), 0)</f>
        <v>0</v>
      </c>
      <c r="D26" s="16">
        <f>C26</f>
        <v>0</v>
      </c>
      <c r="E26" s="16">
        <f>(B25-H26)*Inputs!$C$7/12</f>
        <v>0</v>
      </c>
      <c r="F26" s="16">
        <f>IF(B25-H26&gt;0, MIN(B25-H26, MAX(0, D26-E26)), 0)</f>
        <v>0</v>
      </c>
      <c r="G26" s="16">
        <f>MAX(0, (B25-H26-F26))*(1-(1-Inputs!$C$9)^(1/12))</f>
        <v>0</v>
      </c>
      <c r="H26" s="16">
        <f>B25*(1-(1-Inputs!$C$10)^(1/12))</f>
        <v>0</v>
      </c>
      <c r="I26" s="16">
        <f>H26*Inputs!$C$11</f>
        <v>0</v>
      </c>
      <c r="J26" s="16">
        <f>E26</f>
        <v>0</v>
      </c>
      <c r="K26" s="16">
        <f>F26+G26+H26*(1-Inputs!$C$11)</f>
        <v>0</v>
      </c>
      <c r="L26" s="16">
        <f>L25+I26</f>
        <v>0</v>
      </c>
      <c r="M26" s="17">
        <f>L26/Inputs!$C$6</f>
        <v>0</v>
      </c>
      <c r="N26" s="18">
        <f>EDATE($N$2, A26)</f>
        <v>0</v>
      </c>
    </row>
    <row r="27" spans="1:14">
      <c r="A27">
        <v>25</v>
      </c>
      <c r="B27" s="16">
        <f>MAX(0, B26-F27-G27-H27)</f>
        <v>0</v>
      </c>
      <c r="C27" s="16">
        <f>IF(B26-H27&gt;0, -PMT(Inputs!$C$7/12, MAX(1, Inputs!$C$8-A27+1), B26-H27), 0)</f>
        <v>0</v>
      </c>
      <c r="D27" s="16">
        <f>C27</f>
        <v>0</v>
      </c>
      <c r="E27" s="16">
        <f>(B26-H27)*Inputs!$C$7/12</f>
        <v>0</v>
      </c>
      <c r="F27" s="16">
        <f>IF(B26-H27&gt;0, MIN(B26-H27, MAX(0, D27-E27)), 0)</f>
        <v>0</v>
      </c>
      <c r="G27" s="16">
        <f>MAX(0, (B26-H27-F27))*(1-(1-Inputs!$C$9)^(1/12))</f>
        <v>0</v>
      </c>
      <c r="H27" s="16">
        <f>B26*(1-(1-Inputs!$C$10)^(1/12))</f>
        <v>0</v>
      </c>
      <c r="I27" s="16">
        <f>H27*Inputs!$C$11</f>
        <v>0</v>
      </c>
      <c r="J27" s="16">
        <f>E27</f>
        <v>0</v>
      </c>
      <c r="K27" s="16">
        <f>F27+G27+H27*(1-Inputs!$C$11)</f>
        <v>0</v>
      </c>
      <c r="L27" s="16">
        <f>L26+I27</f>
        <v>0</v>
      </c>
      <c r="M27" s="17">
        <f>L27/Inputs!$C$6</f>
        <v>0</v>
      </c>
      <c r="N27" s="18">
        <f>EDATE($N$2, A27)</f>
        <v>0</v>
      </c>
    </row>
    <row r="28" spans="1:14">
      <c r="A28">
        <v>26</v>
      </c>
      <c r="B28" s="16">
        <f>MAX(0, B27-F28-G28-H28)</f>
        <v>0</v>
      </c>
      <c r="C28" s="16">
        <f>IF(B27-H28&gt;0, -PMT(Inputs!$C$7/12, MAX(1, Inputs!$C$8-A28+1), B27-H28), 0)</f>
        <v>0</v>
      </c>
      <c r="D28" s="16">
        <f>C28</f>
        <v>0</v>
      </c>
      <c r="E28" s="16">
        <f>(B27-H28)*Inputs!$C$7/12</f>
        <v>0</v>
      </c>
      <c r="F28" s="16">
        <f>IF(B27-H28&gt;0, MIN(B27-H28, MAX(0, D28-E28)), 0)</f>
        <v>0</v>
      </c>
      <c r="G28" s="16">
        <f>MAX(0, (B27-H28-F28))*(1-(1-Inputs!$C$9)^(1/12))</f>
        <v>0</v>
      </c>
      <c r="H28" s="16">
        <f>B27*(1-(1-Inputs!$C$10)^(1/12))</f>
        <v>0</v>
      </c>
      <c r="I28" s="16">
        <f>H28*Inputs!$C$11</f>
        <v>0</v>
      </c>
      <c r="J28" s="16">
        <f>E28</f>
        <v>0</v>
      </c>
      <c r="K28" s="16">
        <f>F28+G28+H28*(1-Inputs!$C$11)</f>
        <v>0</v>
      </c>
      <c r="L28" s="16">
        <f>L27+I28</f>
        <v>0</v>
      </c>
      <c r="M28" s="17">
        <f>L28/Inputs!$C$6</f>
        <v>0</v>
      </c>
      <c r="N28" s="18">
        <f>EDATE($N$2, A28)</f>
        <v>0</v>
      </c>
    </row>
    <row r="29" spans="1:14">
      <c r="A29">
        <v>27</v>
      </c>
      <c r="B29" s="16">
        <f>MAX(0, B28-F29-G29-H29)</f>
        <v>0</v>
      </c>
      <c r="C29" s="16">
        <f>IF(B28-H29&gt;0, -PMT(Inputs!$C$7/12, MAX(1, Inputs!$C$8-A29+1), B28-H29), 0)</f>
        <v>0</v>
      </c>
      <c r="D29" s="16">
        <f>C29</f>
        <v>0</v>
      </c>
      <c r="E29" s="16">
        <f>(B28-H29)*Inputs!$C$7/12</f>
        <v>0</v>
      </c>
      <c r="F29" s="16">
        <f>IF(B28-H29&gt;0, MIN(B28-H29, MAX(0, D29-E29)), 0)</f>
        <v>0</v>
      </c>
      <c r="G29" s="16">
        <f>MAX(0, (B28-H29-F29))*(1-(1-Inputs!$C$9)^(1/12))</f>
        <v>0</v>
      </c>
      <c r="H29" s="16">
        <f>B28*(1-(1-Inputs!$C$10)^(1/12))</f>
        <v>0</v>
      </c>
      <c r="I29" s="16">
        <f>H29*Inputs!$C$11</f>
        <v>0</v>
      </c>
      <c r="J29" s="16">
        <f>E29</f>
        <v>0</v>
      </c>
      <c r="K29" s="16">
        <f>F29+G29+H29*(1-Inputs!$C$11)</f>
        <v>0</v>
      </c>
      <c r="L29" s="16">
        <f>L28+I29</f>
        <v>0</v>
      </c>
      <c r="M29" s="17">
        <f>L29/Inputs!$C$6</f>
        <v>0</v>
      </c>
      <c r="N29" s="18">
        <f>EDATE($N$2, A29)</f>
        <v>0</v>
      </c>
    </row>
    <row r="30" spans="1:14">
      <c r="A30">
        <v>28</v>
      </c>
      <c r="B30" s="16">
        <f>MAX(0, B29-F30-G30-H30)</f>
        <v>0</v>
      </c>
      <c r="C30" s="16">
        <f>IF(B29-H30&gt;0, -PMT(Inputs!$C$7/12, MAX(1, Inputs!$C$8-A30+1), B29-H30), 0)</f>
        <v>0</v>
      </c>
      <c r="D30" s="16">
        <f>C30</f>
        <v>0</v>
      </c>
      <c r="E30" s="16">
        <f>(B29-H30)*Inputs!$C$7/12</f>
        <v>0</v>
      </c>
      <c r="F30" s="16">
        <f>IF(B29-H30&gt;0, MIN(B29-H30, MAX(0, D30-E30)), 0)</f>
        <v>0</v>
      </c>
      <c r="G30" s="16">
        <f>MAX(0, (B29-H30-F30))*(1-(1-Inputs!$C$9)^(1/12))</f>
        <v>0</v>
      </c>
      <c r="H30" s="16">
        <f>B29*(1-(1-Inputs!$C$10)^(1/12))</f>
        <v>0</v>
      </c>
      <c r="I30" s="16">
        <f>H30*Inputs!$C$11</f>
        <v>0</v>
      </c>
      <c r="J30" s="16">
        <f>E30</f>
        <v>0</v>
      </c>
      <c r="K30" s="16">
        <f>F30+G30+H30*(1-Inputs!$C$11)</f>
        <v>0</v>
      </c>
      <c r="L30" s="16">
        <f>L29+I30</f>
        <v>0</v>
      </c>
      <c r="M30" s="17">
        <f>L30/Inputs!$C$6</f>
        <v>0</v>
      </c>
      <c r="N30" s="18">
        <f>EDATE($N$2, A30)</f>
        <v>0</v>
      </c>
    </row>
    <row r="31" spans="1:14">
      <c r="A31">
        <v>29</v>
      </c>
      <c r="B31" s="16">
        <f>MAX(0, B30-F31-G31-H31)</f>
        <v>0</v>
      </c>
      <c r="C31" s="16">
        <f>IF(B30-H31&gt;0, -PMT(Inputs!$C$7/12, MAX(1, Inputs!$C$8-A31+1), B30-H31), 0)</f>
        <v>0</v>
      </c>
      <c r="D31" s="16">
        <f>C31</f>
        <v>0</v>
      </c>
      <c r="E31" s="16">
        <f>(B30-H31)*Inputs!$C$7/12</f>
        <v>0</v>
      </c>
      <c r="F31" s="16">
        <f>IF(B30-H31&gt;0, MIN(B30-H31, MAX(0, D31-E31)), 0)</f>
        <v>0</v>
      </c>
      <c r="G31" s="16">
        <f>MAX(0, (B30-H31-F31))*(1-(1-Inputs!$C$9)^(1/12))</f>
        <v>0</v>
      </c>
      <c r="H31" s="16">
        <f>B30*(1-(1-Inputs!$C$10)^(1/12))</f>
        <v>0</v>
      </c>
      <c r="I31" s="16">
        <f>H31*Inputs!$C$11</f>
        <v>0</v>
      </c>
      <c r="J31" s="16">
        <f>E31</f>
        <v>0</v>
      </c>
      <c r="K31" s="16">
        <f>F31+G31+H31*(1-Inputs!$C$11)</f>
        <v>0</v>
      </c>
      <c r="L31" s="16">
        <f>L30+I31</f>
        <v>0</v>
      </c>
      <c r="M31" s="17">
        <f>L31/Inputs!$C$6</f>
        <v>0</v>
      </c>
      <c r="N31" s="18">
        <f>EDATE($N$2, A31)</f>
        <v>0</v>
      </c>
    </row>
    <row r="32" spans="1:14">
      <c r="A32">
        <v>30</v>
      </c>
      <c r="B32" s="16">
        <f>MAX(0, B31-F32-G32-H32)</f>
        <v>0</v>
      </c>
      <c r="C32" s="16">
        <f>IF(B31-H32&gt;0, -PMT(Inputs!$C$7/12, MAX(1, Inputs!$C$8-A32+1), B31-H32), 0)</f>
        <v>0</v>
      </c>
      <c r="D32" s="16">
        <f>C32</f>
        <v>0</v>
      </c>
      <c r="E32" s="16">
        <f>(B31-H32)*Inputs!$C$7/12</f>
        <v>0</v>
      </c>
      <c r="F32" s="16">
        <f>IF(B31-H32&gt;0, MIN(B31-H32, MAX(0, D32-E32)), 0)</f>
        <v>0</v>
      </c>
      <c r="G32" s="16">
        <f>MAX(0, (B31-H32-F32))*(1-(1-Inputs!$C$9)^(1/12))</f>
        <v>0</v>
      </c>
      <c r="H32" s="16">
        <f>B31*(1-(1-Inputs!$C$10)^(1/12))</f>
        <v>0</v>
      </c>
      <c r="I32" s="16">
        <f>H32*Inputs!$C$11</f>
        <v>0</v>
      </c>
      <c r="J32" s="16">
        <f>E32</f>
        <v>0</v>
      </c>
      <c r="K32" s="16">
        <f>F32+G32+H32*(1-Inputs!$C$11)</f>
        <v>0</v>
      </c>
      <c r="L32" s="16">
        <f>L31+I32</f>
        <v>0</v>
      </c>
      <c r="M32" s="17">
        <f>L32/Inputs!$C$6</f>
        <v>0</v>
      </c>
      <c r="N32" s="18">
        <f>EDATE($N$2, A32)</f>
        <v>0</v>
      </c>
    </row>
    <row r="33" spans="1:14">
      <c r="A33">
        <v>31</v>
      </c>
      <c r="B33" s="16">
        <f>MAX(0, B32-F33-G33-H33)</f>
        <v>0</v>
      </c>
      <c r="C33" s="16">
        <f>IF(B32-H33&gt;0, -PMT(Inputs!$C$7/12, MAX(1, Inputs!$C$8-A33+1), B32-H33), 0)</f>
        <v>0</v>
      </c>
      <c r="D33" s="16">
        <f>C33</f>
        <v>0</v>
      </c>
      <c r="E33" s="16">
        <f>(B32-H33)*Inputs!$C$7/12</f>
        <v>0</v>
      </c>
      <c r="F33" s="16">
        <f>IF(B32-H33&gt;0, MIN(B32-H33, MAX(0, D33-E33)), 0)</f>
        <v>0</v>
      </c>
      <c r="G33" s="16">
        <f>MAX(0, (B32-H33-F33))*(1-(1-Inputs!$C$9)^(1/12))</f>
        <v>0</v>
      </c>
      <c r="H33" s="16">
        <f>B32*(1-(1-Inputs!$C$10)^(1/12))</f>
        <v>0</v>
      </c>
      <c r="I33" s="16">
        <f>H33*Inputs!$C$11</f>
        <v>0</v>
      </c>
      <c r="J33" s="16">
        <f>E33</f>
        <v>0</v>
      </c>
      <c r="K33" s="16">
        <f>F33+G33+H33*(1-Inputs!$C$11)</f>
        <v>0</v>
      </c>
      <c r="L33" s="16">
        <f>L32+I33</f>
        <v>0</v>
      </c>
      <c r="M33" s="17">
        <f>L33/Inputs!$C$6</f>
        <v>0</v>
      </c>
      <c r="N33" s="18">
        <f>EDATE($N$2, A33)</f>
        <v>0</v>
      </c>
    </row>
    <row r="34" spans="1:14">
      <c r="A34">
        <v>32</v>
      </c>
      <c r="B34" s="16">
        <f>MAX(0, B33-F34-G34-H34)</f>
        <v>0</v>
      </c>
      <c r="C34" s="16">
        <f>IF(B33-H34&gt;0, -PMT(Inputs!$C$7/12, MAX(1, Inputs!$C$8-A34+1), B33-H34), 0)</f>
        <v>0</v>
      </c>
      <c r="D34" s="16">
        <f>C34</f>
        <v>0</v>
      </c>
      <c r="E34" s="16">
        <f>(B33-H34)*Inputs!$C$7/12</f>
        <v>0</v>
      </c>
      <c r="F34" s="16">
        <f>IF(B33-H34&gt;0, MIN(B33-H34, MAX(0, D34-E34)), 0)</f>
        <v>0</v>
      </c>
      <c r="G34" s="16">
        <f>MAX(0, (B33-H34-F34))*(1-(1-Inputs!$C$9)^(1/12))</f>
        <v>0</v>
      </c>
      <c r="H34" s="16">
        <f>B33*(1-(1-Inputs!$C$10)^(1/12))</f>
        <v>0</v>
      </c>
      <c r="I34" s="16">
        <f>H34*Inputs!$C$11</f>
        <v>0</v>
      </c>
      <c r="J34" s="16">
        <f>E34</f>
        <v>0</v>
      </c>
      <c r="K34" s="16">
        <f>F34+G34+H34*(1-Inputs!$C$11)</f>
        <v>0</v>
      </c>
      <c r="L34" s="16">
        <f>L33+I34</f>
        <v>0</v>
      </c>
      <c r="M34" s="17">
        <f>L34/Inputs!$C$6</f>
        <v>0</v>
      </c>
      <c r="N34" s="18">
        <f>EDATE($N$2, A34)</f>
        <v>0</v>
      </c>
    </row>
    <row r="35" spans="1:14">
      <c r="A35">
        <v>33</v>
      </c>
      <c r="B35" s="16">
        <f>MAX(0, B34-F35-G35-H35)</f>
        <v>0</v>
      </c>
      <c r="C35" s="16">
        <f>IF(B34-H35&gt;0, -PMT(Inputs!$C$7/12, MAX(1, Inputs!$C$8-A35+1), B34-H35), 0)</f>
        <v>0</v>
      </c>
      <c r="D35" s="16">
        <f>C35</f>
        <v>0</v>
      </c>
      <c r="E35" s="16">
        <f>(B34-H35)*Inputs!$C$7/12</f>
        <v>0</v>
      </c>
      <c r="F35" s="16">
        <f>IF(B34-H35&gt;0, MIN(B34-H35, MAX(0, D35-E35)), 0)</f>
        <v>0</v>
      </c>
      <c r="G35" s="16">
        <f>MAX(0, (B34-H35-F35))*(1-(1-Inputs!$C$9)^(1/12))</f>
        <v>0</v>
      </c>
      <c r="H35" s="16">
        <f>B34*(1-(1-Inputs!$C$10)^(1/12))</f>
        <v>0</v>
      </c>
      <c r="I35" s="16">
        <f>H35*Inputs!$C$11</f>
        <v>0</v>
      </c>
      <c r="J35" s="16">
        <f>E35</f>
        <v>0</v>
      </c>
      <c r="K35" s="16">
        <f>F35+G35+H35*(1-Inputs!$C$11)</f>
        <v>0</v>
      </c>
      <c r="L35" s="16">
        <f>L34+I35</f>
        <v>0</v>
      </c>
      <c r="M35" s="17">
        <f>L35/Inputs!$C$6</f>
        <v>0</v>
      </c>
      <c r="N35" s="18">
        <f>EDATE($N$2, A35)</f>
        <v>0</v>
      </c>
    </row>
    <row r="36" spans="1:14">
      <c r="A36">
        <v>34</v>
      </c>
      <c r="B36" s="16">
        <f>MAX(0, B35-F36-G36-H36)</f>
        <v>0</v>
      </c>
      <c r="C36" s="16">
        <f>IF(B35-H36&gt;0, -PMT(Inputs!$C$7/12, MAX(1, Inputs!$C$8-A36+1), B35-H36), 0)</f>
        <v>0</v>
      </c>
      <c r="D36" s="16">
        <f>C36</f>
        <v>0</v>
      </c>
      <c r="E36" s="16">
        <f>(B35-H36)*Inputs!$C$7/12</f>
        <v>0</v>
      </c>
      <c r="F36" s="16">
        <f>IF(B35-H36&gt;0, MIN(B35-H36, MAX(0, D36-E36)), 0)</f>
        <v>0</v>
      </c>
      <c r="G36" s="16">
        <f>MAX(0, (B35-H36-F36))*(1-(1-Inputs!$C$9)^(1/12))</f>
        <v>0</v>
      </c>
      <c r="H36" s="16">
        <f>B35*(1-(1-Inputs!$C$10)^(1/12))</f>
        <v>0</v>
      </c>
      <c r="I36" s="16">
        <f>H36*Inputs!$C$11</f>
        <v>0</v>
      </c>
      <c r="J36" s="16">
        <f>E36</f>
        <v>0</v>
      </c>
      <c r="K36" s="16">
        <f>F36+G36+H36*(1-Inputs!$C$11)</f>
        <v>0</v>
      </c>
      <c r="L36" s="16">
        <f>L35+I36</f>
        <v>0</v>
      </c>
      <c r="M36" s="17">
        <f>L36/Inputs!$C$6</f>
        <v>0</v>
      </c>
      <c r="N36" s="18">
        <f>EDATE($N$2, A36)</f>
        <v>0</v>
      </c>
    </row>
    <row r="37" spans="1:14">
      <c r="A37">
        <v>35</v>
      </c>
      <c r="B37" s="16">
        <f>MAX(0, B36-F37-G37-H37)</f>
        <v>0</v>
      </c>
      <c r="C37" s="16">
        <f>IF(B36-H37&gt;0, -PMT(Inputs!$C$7/12, MAX(1, Inputs!$C$8-A37+1), B36-H37), 0)</f>
        <v>0</v>
      </c>
      <c r="D37" s="16">
        <f>C37</f>
        <v>0</v>
      </c>
      <c r="E37" s="16">
        <f>(B36-H37)*Inputs!$C$7/12</f>
        <v>0</v>
      </c>
      <c r="F37" s="16">
        <f>IF(B36-H37&gt;0, MIN(B36-H37, MAX(0, D37-E37)), 0)</f>
        <v>0</v>
      </c>
      <c r="G37" s="16">
        <f>MAX(0, (B36-H37-F37))*(1-(1-Inputs!$C$9)^(1/12))</f>
        <v>0</v>
      </c>
      <c r="H37" s="16">
        <f>B36*(1-(1-Inputs!$C$10)^(1/12))</f>
        <v>0</v>
      </c>
      <c r="I37" s="16">
        <f>H37*Inputs!$C$11</f>
        <v>0</v>
      </c>
      <c r="J37" s="16">
        <f>E37</f>
        <v>0</v>
      </c>
      <c r="K37" s="16">
        <f>F37+G37+H37*(1-Inputs!$C$11)</f>
        <v>0</v>
      </c>
      <c r="L37" s="16">
        <f>L36+I37</f>
        <v>0</v>
      </c>
      <c r="M37" s="17">
        <f>L37/Inputs!$C$6</f>
        <v>0</v>
      </c>
      <c r="N37" s="18">
        <f>EDATE($N$2, A37)</f>
        <v>0</v>
      </c>
    </row>
    <row r="38" spans="1:14">
      <c r="A38">
        <v>36</v>
      </c>
      <c r="B38" s="16">
        <f>MAX(0, B37-F38-G38-H38)</f>
        <v>0</v>
      </c>
      <c r="C38" s="16">
        <f>IF(B37-H38&gt;0, -PMT(Inputs!$C$7/12, MAX(1, Inputs!$C$8-A38+1), B37-H38), 0)</f>
        <v>0</v>
      </c>
      <c r="D38" s="16">
        <f>C38</f>
        <v>0</v>
      </c>
      <c r="E38" s="16">
        <f>(B37-H38)*Inputs!$C$7/12</f>
        <v>0</v>
      </c>
      <c r="F38" s="16">
        <f>IF(B37-H38&gt;0, MIN(B37-H38, MAX(0, D38-E38)), 0)</f>
        <v>0</v>
      </c>
      <c r="G38" s="16">
        <f>MAX(0, (B37-H38-F38))*(1-(1-Inputs!$C$9)^(1/12))</f>
        <v>0</v>
      </c>
      <c r="H38" s="16">
        <f>B37*(1-(1-Inputs!$C$10)^(1/12))</f>
        <v>0</v>
      </c>
      <c r="I38" s="16">
        <f>H38*Inputs!$C$11</f>
        <v>0</v>
      </c>
      <c r="J38" s="16">
        <f>E38</f>
        <v>0</v>
      </c>
      <c r="K38" s="16">
        <f>F38+G38+H38*(1-Inputs!$C$11)</f>
        <v>0</v>
      </c>
      <c r="L38" s="16">
        <f>L37+I38</f>
        <v>0</v>
      </c>
      <c r="M38" s="17">
        <f>L38/Inputs!$C$6</f>
        <v>0</v>
      </c>
      <c r="N38" s="18">
        <f>EDATE($N$2, A38)</f>
        <v>0</v>
      </c>
    </row>
    <row r="39" spans="1:14">
      <c r="A39">
        <v>37</v>
      </c>
      <c r="B39" s="16">
        <f>MAX(0, B38-F39-G39-H39)</f>
        <v>0</v>
      </c>
      <c r="C39" s="16">
        <f>IF(B38-H39&gt;0, -PMT(Inputs!$C$7/12, MAX(1, Inputs!$C$8-A39+1), B38-H39), 0)</f>
        <v>0</v>
      </c>
      <c r="D39" s="16">
        <f>C39</f>
        <v>0</v>
      </c>
      <c r="E39" s="16">
        <f>(B38-H39)*Inputs!$C$7/12</f>
        <v>0</v>
      </c>
      <c r="F39" s="16">
        <f>IF(B38-H39&gt;0, MIN(B38-H39, MAX(0, D39-E39)), 0)</f>
        <v>0</v>
      </c>
      <c r="G39" s="16">
        <f>MAX(0, (B38-H39-F39))*(1-(1-Inputs!$C$9)^(1/12))</f>
        <v>0</v>
      </c>
      <c r="H39" s="16">
        <f>B38*(1-(1-Inputs!$C$10)^(1/12))</f>
        <v>0</v>
      </c>
      <c r="I39" s="16">
        <f>H39*Inputs!$C$11</f>
        <v>0</v>
      </c>
      <c r="J39" s="16">
        <f>E39</f>
        <v>0</v>
      </c>
      <c r="K39" s="16">
        <f>F39+G39+H39*(1-Inputs!$C$11)</f>
        <v>0</v>
      </c>
      <c r="L39" s="16">
        <f>L38+I39</f>
        <v>0</v>
      </c>
      <c r="M39" s="17">
        <f>L39/Inputs!$C$6</f>
        <v>0</v>
      </c>
      <c r="N39" s="18">
        <f>EDATE($N$2, A39)</f>
        <v>0</v>
      </c>
    </row>
    <row r="40" spans="1:14">
      <c r="A40">
        <v>38</v>
      </c>
      <c r="B40" s="16">
        <f>MAX(0, B39-F40-G40-H40)</f>
        <v>0</v>
      </c>
      <c r="C40" s="16">
        <f>IF(B39-H40&gt;0, -PMT(Inputs!$C$7/12, MAX(1, Inputs!$C$8-A40+1), B39-H40), 0)</f>
        <v>0</v>
      </c>
      <c r="D40" s="16">
        <f>C40</f>
        <v>0</v>
      </c>
      <c r="E40" s="16">
        <f>(B39-H40)*Inputs!$C$7/12</f>
        <v>0</v>
      </c>
      <c r="F40" s="16">
        <f>IF(B39-H40&gt;0, MIN(B39-H40, MAX(0, D40-E40)), 0)</f>
        <v>0</v>
      </c>
      <c r="G40" s="16">
        <f>MAX(0, (B39-H40-F40))*(1-(1-Inputs!$C$9)^(1/12))</f>
        <v>0</v>
      </c>
      <c r="H40" s="16">
        <f>B39*(1-(1-Inputs!$C$10)^(1/12))</f>
        <v>0</v>
      </c>
      <c r="I40" s="16">
        <f>H40*Inputs!$C$11</f>
        <v>0</v>
      </c>
      <c r="J40" s="16">
        <f>E40</f>
        <v>0</v>
      </c>
      <c r="K40" s="16">
        <f>F40+G40+H40*(1-Inputs!$C$11)</f>
        <v>0</v>
      </c>
      <c r="L40" s="16">
        <f>L39+I40</f>
        <v>0</v>
      </c>
      <c r="M40" s="17">
        <f>L40/Inputs!$C$6</f>
        <v>0</v>
      </c>
      <c r="N40" s="18">
        <f>EDATE($N$2, A40)</f>
        <v>0</v>
      </c>
    </row>
    <row r="41" spans="1:14">
      <c r="A41">
        <v>39</v>
      </c>
      <c r="B41" s="16">
        <f>MAX(0, B40-F41-G41-H41)</f>
        <v>0</v>
      </c>
      <c r="C41" s="16">
        <f>IF(B40-H41&gt;0, -PMT(Inputs!$C$7/12, MAX(1, Inputs!$C$8-A41+1), B40-H41), 0)</f>
        <v>0</v>
      </c>
      <c r="D41" s="16">
        <f>C41</f>
        <v>0</v>
      </c>
      <c r="E41" s="16">
        <f>(B40-H41)*Inputs!$C$7/12</f>
        <v>0</v>
      </c>
      <c r="F41" s="16">
        <f>IF(B40-H41&gt;0, MIN(B40-H41, MAX(0, D41-E41)), 0)</f>
        <v>0</v>
      </c>
      <c r="G41" s="16">
        <f>MAX(0, (B40-H41-F41))*(1-(1-Inputs!$C$9)^(1/12))</f>
        <v>0</v>
      </c>
      <c r="H41" s="16">
        <f>B40*(1-(1-Inputs!$C$10)^(1/12))</f>
        <v>0</v>
      </c>
      <c r="I41" s="16">
        <f>H41*Inputs!$C$11</f>
        <v>0</v>
      </c>
      <c r="J41" s="16">
        <f>E41</f>
        <v>0</v>
      </c>
      <c r="K41" s="16">
        <f>F41+G41+H41*(1-Inputs!$C$11)</f>
        <v>0</v>
      </c>
      <c r="L41" s="16">
        <f>L40+I41</f>
        <v>0</v>
      </c>
      <c r="M41" s="17">
        <f>L41/Inputs!$C$6</f>
        <v>0</v>
      </c>
      <c r="N41" s="18">
        <f>EDATE($N$2, A41)</f>
        <v>0</v>
      </c>
    </row>
    <row r="42" spans="1:14">
      <c r="A42">
        <v>40</v>
      </c>
      <c r="B42" s="16">
        <f>MAX(0, B41-F42-G42-H42)</f>
        <v>0</v>
      </c>
      <c r="C42" s="16">
        <f>IF(B41-H42&gt;0, -PMT(Inputs!$C$7/12, MAX(1, Inputs!$C$8-A42+1), B41-H42), 0)</f>
        <v>0</v>
      </c>
      <c r="D42" s="16">
        <f>C42</f>
        <v>0</v>
      </c>
      <c r="E42" s="16">
        <f>(B41-H42)*Inputs!$C$7/12</f>
        <v>0</v>
      </c>
      <c r="F42" s="16">
        <f>IF(B41-H42&gt;0, MIN(B41-H42, MAX(0, D42-E42)), 0)</f>
        <v>0</v>
      </c>
      <c r="G42" s="16">
        <f>MAX(0, (B41-H42-F42))*(1-(1-Inputs!$C$9)^(1/12))</f>
        <v>0</v>
      </c>
      <c r="H42" s="16">
        <f>B41*(1-(1-Inputs!$C$10)^(1/12))</f>
        <v>0</v>
      </c>
      <c r="I42" s="16">
        <f>H42*Inputs!$C$11</f>
        <v>0</v>
      </c>
      <c r="J42" s="16">
        <f>E42</f>
        <v>0</v>
      </c>
      <c r="K42" s="16">
        <f>F42+G42+H42*(1-Inputs!$C$11)</f>
        <v>0</v>
      </c>
      <c r="L42" s="16">
        <f>L41+I42</f>
        <v>0</v>
      </c>
      <c r="M42" s="17">
        <f>L42/Inputs!$C$6</f>
        <v>0</v>
      </c>
      <c r="N42" s="18">
        <f>EDATE($N$2, A42)</f>
        <v>0</v>
      </c>
    </row>
    <row r="43" spans="1:14">
      <c r="A43">
        <v>41</v>
      </c>
      <c r="B43" s="16">
        <f>MAX(0, B42-F43-G43-H43)</f>
        <v>0</v>
      </c>
      <c r="C43" s="16">
        <f>IF(B42-H43&gt;0, -PMT(Inputs!$C$7/12, MAX(1, Inputs!$C$8-A43+1), B42-H43), 0)</f>
        <v>0</v>
      </c>
      <c r="D43" s="16">
        <f>C43</f>
        <v>0</v>
      </c>
      <c r="E43" s="16">
        <f>(B42-H43)*Inputs!$C$7/12</f>
        <v>0</v>
      </c>
      <c r="F43" s="16">
        <f>IF(B42-H43&gt;0, MIN(B42-H43, MAX(0, D43-E43)), 0)</f>
        <v>0</v>
      </c>
      <c r="G43" s="16">
        <f>MAX(0, (B42-H43-F43))*(1-(1-Inputs!$C$9)^(1/12))</f>
        <v>0</v>
      </c>
      <c r="H43" s="16">
        <f>B42*(1-(1-Inputs!$C$10)^(1/12))</f>
        <v>0</v>
      </c>
      <c r="I43" s="16">
        <f>H43*Inputs!$C$11</f>
        <v>0</v>
      </c>
      <c r="J43" s="16">
        <f>E43</f>
        <v>0</v>
      </c>
      <c r="K43" s="16">
        <f>F43+G43+H43*(1-Inputs!$C$11)</f>
        <v>0</v>
      </c>
      <c r="L43" s="16">
        <f>L42+I43</f>
        <v>0</v>
      </c>
      <c r="M43" s="17">
        <f>L43/Inputs!$C$6</f>
        <v>0</v>
      </c>
      <c r="N43" s="18">
        <f>EDATE($N$2, A43)</f>
        <v>0</v>
      </c>
    </row>
    <row r="44" spans="1:14">
      <c r="A44">
        <v>42</v>
      </c>
      <c r="B44" s="16">
        <f>MAX(0, B43-F44-G44-H44)</f>
        <v>0</v>
      </c>
      <c r="C44" s="16">
        <f>IF(B43-H44&gt;0, -PMT(Inputs!$C$7/12, MAX(1, Inputs!$C$8-A44+1), B43-H44), 0)</f>
        <v>0</v>
      </c>
      <c r="D44" s="16">
        <f>C44</f>
        <v>0</v>
      </c>
      <c r="E44" s="16">
        <f>(B43-H44)*Inputs!$C$7/12</f>
        <v>0</v>
      </c>
      <c r="F44" s="16">
        <f>IF(B43-H44&gt;0, MIN(B43-H44, MAX(0, D44-E44)), 0)</f>
        <v>0</v>
      </c>
      <c r="G44" s="16">
        <f>MAX(0, (B43-H44-F44))*(1-(1-Inputs!$C$9)^(1/12))</f>
        <v>0</v>
      </c>
      <c r="H44" s="16">
        <f>B43*(1-(1-Inputs!$C$10)^(1/12))</f>
        <v>0</v>
      </c>
      <c r="I44" s="16">
        <f>H44*Inputs!$C$11</f>
        <v>0</v>
      </c>
      <c r="J44" s="16">
        <f>E44</f>
        <v>0</v>
      </c>
      <c r="K44" s="16">
        <f>F44+G44+H44*(1-Inputs!$C$11)</f>
        <v>0</v>
      </c>
      <c r="L44" s="16">
        <f>L43+I44</f>
        <v>0</v>
      </c>
      <c r="M44" s="17">
        <f>L44/Inputs!$C$6</f>
        <v>0</v>
      </c>
      <c r="N44" s="18">
        <f>EDATE($N$2, A44)</f>
        <v>0</v>
      </c>
    </row>
    <row r="45" spans="1:14">
      <c r="A45">
        <v>43</v>
      </c>
      <c r="B45" s="16">
        <f>MAX(0, B44-F45-G45-H45)</f>
        <v>0</v>
      </c>
      <c r="C45" s="16">
        <f>IF(B44-H45&gt;0, -PMT(Inputs!$C$7/12, MAX(1, Inputs!$C$8-A45+1), B44-H45), 0)</f>
        <v>0</v>
      </c>
      <c r="D45" s="16">
        <f>C45</f>
        <v>0</v>
      </c>
      <c r="E45" s="16">
        <f>(B44-H45)*Inputs!$C$7/12</f>
        <v>0</v>
      </c>
      <c r="F45" s="16">
        <f>IF(B44-H45&gt;0, MIN(B44-H45, MAX(0, D45-E45)), 0)</f>
        <v>0</v>
      </c>
      <c r="G45" s="16">
        <f>MAX(0, (B44-H45-F45))*(1-(1-Inputs!$C$9)^(1/12))</f>
        <v>0</v>
      </c>
      <c r="H45" s="16">
        <f>B44*(1-(1-Inputs!$C$10)^(1/12))</f>
        <v>0</v>
      </c>
      <c r="I45" s="16">
        <f>H45*Inputs!$C$11</f>
        <v>0</v>
      </c>
      <c r="J45" s="16">
        <f>E45</f>
        <v>0</v>
      </c>
      <c r="K45" s="16">
        <f>F45+G45+H45*(1-Inputs!$C$11)</f>
        <v>0</v>
      </c>
      <c r="L45" s="16">
        <f>L44+I45</f>
        <v>0</v>
      </c>
      <c r="M45" s="17">
        <f>L45/Inputs!$C$6</f>
        <v>0</v>
      </c>
      <c r="N45" s="18">
        <f>EDATE($N$2, A45)</f>
        <v>0</v>
      </c>
    </row>
    <row r="46" spans="1:14">
      <c r="A46">
        <v>44</v>
      </c>
      <c r="B46" s="16">
        <f>MAX(0, B45-F46-G46-H46)</f>
        <v>0</v>
      </c>
      <c r="C46" s="16">
        <f>IF(B45-H46&gt;0, -PMT(Inputs!$C$7/12, MAX(1, Inputs!$C$8-A46+1), B45-H46), 0)</f>
        <v>0</v>
      </c>
      <c r="D46" s="16">
        <f>C46</f>
        <v>0</v>
      </c>
      <c r="E46" s="16">
        <f>(B45-H46)*Inputs!$C$7/12</f>
        <v>0</v>
      </c>
      <c r="F46" s="16">
        <f>IF(B45-H46&gt;0, MIN(B45-H46, MAX(0, D46-E46)), 0)</f>
        <v>0</v>
      </c>
      <c r="G46" s="16">
        <f>MAX(0, (B45-H46-F46))*(1-(1-Inputs!$C$9)^(1/12))</f>
        <v>0</v>
      </c>
      <c r="H46" s="16">
        <f>B45*(1-(1-Inputs!$C$10)^(1/12))</f>
        <v>0</v>
      </c>
      <c r="I46" s="16">
        <f>H46*Inputs!$C$11</f>
        <v>0</v>
      </c>
      <c r="J46" s="16">
        <f>E46</f>
        <v>0</v>
      </c>
      <c r="K46" s="16">
        <f>F46+G46+H46*(1-Inputs!$C$11)</f>
        <v>0</v>
      </c>
      <c r="L46" s="16">
        <f>L45+I46</f>
        <v>0</v>
      </c>
      <c r="M46" s="17">
        <f>L46/Inputs!$C$6</f>
        <v>0</v>
      </c>
      <c r="N46" s="18">
        <f>EDATE($N$2, A46)</f>
        <v>0</v>
      </c>
    </row>
    <row r="47" spans="1:14">
      <c r="A47">
        <v>45</v>
      </c>
      <c r="B47" s="16">
        <f>MAX(0, B46-F47-G47-H47)</f>
        <v>0</v>
      </c>
      <c r="C47" s="16">
        <f>IF(B46-H47&gt;0, -PMT(Inputs!$C$7/12, MAX(1, Inputs!$C$8-A47+1), B46-H47), 0)</f>
        <v>0</v>
      </c>
      <c r="D47" s="16">
        <f>C47</f>
        <v>0</v>
      </c>
      <c r="E47" s="16">
        <f>(B46-H47)*Inputs!$C$7/12</f>
        <v>0</v>
      </c>
      <c r="F47" s="16">
        <f>IF(B46-H47&gt;0, MIN(B46-H47, MAX(0, D47-E47)), 0)</f>
        <v>0</v>
      </c>
      <c r="G47" s="16">
        <f>MAX(0, (B46-H47-F47))*(1-(1-Inputs!$C$9)^(1/12))</f>
        <v>0</v>
      </c>
      <c r="H47" s="16">
        <f>B46*(1-(1-Inputs!$C$10)^(1/12))</f>
        <v>0</v>
      </c>
      <c r="I47" s="16">
        <f>H47*Inputs!$C$11</f>
        <v>0</v>
      </c>
      <c r="J47" s="16">
        <f>E47</f>
        <v>0</v>
      </c>
      <c r="K47" s="16">
        <f>F47+G47+H47*(1-Inputs!$C$11)</f>
        <v>0</v>
      </c>
      <c r="L47" s="16">
        <f>L46+I47</f>
        <v>0</v>
      </c>
      <c r="M47" s="17">
        <f>L47/Inputs!$C$6</f>
        <v>0</v>
      </c>
      <c r="N47" s="18">
        <f>EDATE($N$2, A47)</f>
        <v>0</v>
      </c>
    </row>
    <row r="48" spans="1:14">
      <c r="A48">
        <v>46</v>
      </c>
      <c r="B48" s="16">
        <f>MAX(0, B47-F48-G48-H48)</f>
        <v>0</v>
      </c>
      <c r="C48" s="16">
        <f>IF(B47-H48&gt;0, -PMT(Inputs!$C$7/12, MAX(1, Inputs!$C$8-A48+1), B47-H48), 0)</f>
        <v>0</v>
      </c>
      <c r="D48" s="16">
        <f>C48</f>
        <v>0</v>
      </c>
      <c r="E48" s="16">
        <f>(B47-H48)*Inputs!$C$7/12</f>
        <v>0</v>
      </c>
      <c r="F48" s="16">
        <f>IF(B47-H48&gt;0, MIN(B47-H48, MAX(0, D48-E48)), 0)</f>
        <v>0</v>
      </c>
      <c r="G48" s="16">
        <f>MAX(0, (B47-H48-F48))*(1-(1-Inputs!$C$9)^(1/12))</f>
        <v>0</v>
      </c>
      <c r="H48" s="16">
        <f>B47*(1-(1-Inputs!$C$10)^(1/12))</f>
        <v>0</v>
      </c>
      <c r="I48" s="16">
        <f>H48*Inputs!$C$11</f>
        <v>0</v>
      </c>
      <c r="J48" s="16">
        <f>E48</f>
        <v>0</v>
      </c>
      <c r="K48" s="16">
        <f>F48+G48+H48*(1-Inputs!$C$11)</f>
        <v>0</v>
      </c>
      <c r="L48" s="16">
        <f>L47+I48</f>
        <v>0</v>
      </c>
      <c r="M48" s="17">
        <f>L48/Inputs!$C$6</f>
        <v>0</v>
      </c>
      <c r="N48" s="18">
        <f>EDATE($N$2, A48)</f>
        <v>0</v>
      </c>
    </row>
    <row r="49" spans="1:14">
      <c r="A49">
        <v>47</v>
      </c>
      <c r="B49" s="16">
        <f>MAX(0, B48-F49-G49-H49)</f>
        <v>0</v>
      </c>
      <c r="C49" s="16">
        <f>IF(B48-H49&gt;0, -PMT(Inputs!$C$7/12, MAX(1, Inputs!$C$8-A49+1), B48-H49), 0)</f>
        <v>0</v>
      </c>
      <c r="D49" s="16">
        <f>C49</f>
        <v>0</v>
      </c>
      <c r="E49" s="16">
        <f>(B48-H49)*Inputs!$C$7/12</f>
        <v>0</v>
      </c>
      <c r="F49" s="16">
        <f>IF(B48-H49&gt;0, MIN(B48-H49, MAX(0, D49-E49)), 0)</f>
        <v>0</v>
      </c>
      <c r="G49" s="16">
        <f>MAX(0, (B48-H49-F49))*(1-(1-Inputs!$C$9)^(1/12))</f>
        <v>0</v>
      </c>
      <c r="H49" s="16">
        <f>B48*(1-(1-Inputs!$C$10)^(1/12))</f>
        <v>0</v>
      </c>
      <c r="I49" s="16">
        <f>H49*Inputs!$C$11</f>
        <v>0</v>
      </c>
      <c r="J49" s="16">
        <f>E49</f>
        <v>0</v>
      </c>
      <c r="K49" s="16">
        <f>F49+G49+H49*(1-Inputs!$C$11)</f>
        <v>0</v>
      </c>
      <c r="L49" s="16">
        <f>L48+I49</f>
        <v>0</v>
      </c>
      <c r="M49" s="17">
        <f>L49/Inputs!$C$6</f>
        <v>0</v>
      </c>
      <c r="N49" s="18">
        <f>EDATE($N$2, A49)</f>
        <v>0</v>
      </c>
    </row>
    <row r="50" spans="1:14">
      <c r="A50">
        <v>48</v>
      </c>
      <c r="B50" s="16">
        <f>MAX(0, B49-F50-G50-H50)</f>
        <v>0</v>
      </c>
      <c r="C50" s="16">
        <f>IF(B49-H50&gt;0, -PMT(Inputs!$C$7/12, MAX(1, Inputs!$C$8-A50+1), B49-H50), 0)</f>
        <v>0</v>
      </c>
      <c r="D50" s="16">
        <f>C50</f>
        <v>0</v>
      </c>
      <c r="E50" s="16">
        <f>(B49-H50)*Inputs!$C$7/12</f>
        <v>0</v>
      </c>
      <c r="F50" s="16">
        <f>IF(B49-H50&gt;0, MIN(B49-H50, MAX(0, D50-E50)), 0)</f>
        <v>0</v>
      </c>
      <c r="G50" s="16">
        <f>MAX(0, (B49-H50-F50))*(1-(1-Inputs!$C$9)^(1/12))</f>
        <v>0</v>
      </c>
      <c r="H50" s="16">
        <f>B49*(1-(1-Inputs!$C$10)^(1/12))</f>
        <v>0</v>
      </c>
      <c r="I50" s="16">
        <f>H50*Inputs!$C$11</f>
        <v>0</v>
      </c>
      <c r="J50" s="16">
        <f>E50</f>
        <v>0</v>
      </c>
      <c r="K50" s="16">
        <f>F50+G50+H50*(1-Inputs!$C$11)</f>
        <v>0</v>
      </c>
      <c r="L50" s="16">
        <f>L49+I50</f>
        <v>0</v>
      </c>
      <c r="M50" s="17">
        <f>L50/Inputs!$C$6</f>
        <v>0</v>
      </c>
      <c r="N50" s="18">
        <f>EDATE($N$2, A50)</f>
        <v>0</v>
      </c>
    </row>
    <row r="51" spans="1:14">
      <c r="A51">
        <v>49</v>
      </c>
      <c r="B51" s="16">
        <f>MAX(0, B50-F51-G51-H51)</f>
        <v>0</v>
      </c>
      <c r="C51" s="16">
        <f>IF(B50-H51&gt;0, -PMT(Inputs!$C$7/12, MAX(1, Inputs!$C$8-A51+1), B50-H51), 0)</f>
        <v>0</v>
      </c>
      <c r="D51" s="16">
        <f>C51</f>
        <v>0</v>
      </c>
      <c r="E51" s="16">
        <f>(B50-H51)*Inputs!$C$7/12</f>
        <v>0</v>
      </c>
      <c r="F51" s="16">
        <f>IF(B50-H51&gt;0, MIN(B50-H51, MAX(0, D51-E51)), 0)</f>
        <v>0</v>
      </c>
      <c r="G51" s="16">
        <f>MAX(0, (B50-H51-F51))*(1-(1-Inputs!$C$9)^(1/12))</f>
        <v>0</v>
      </c>
      <c r="H51" s="16">
        <f>B50*(1-(1-Inputs!$C$10)^(1/12))</f>
        <v>0</v>
      </c>
      <c r="I51" s="16">
        <f>H51*Inputs!$C$11</f>
        <v>0</v>
      </c>
      <c r="J51" s="16">
        <f>E51</f>
        <v>0</v>
      </c>
      <c r="K51" s="16">
        <f>F51+G51+H51*(1-Inputs!$C$11)</f>
        <v>0</v>
      </c>
      <c r="L51" s="16">
        <f>L50+I51</f>
        <v>0</v>
      </c>
      <c r="M51" s="17">
        <f>L51/Inputs!$C$6</f>
        <v>0</v>
      </c>
      <c r="N51" s="18">
        <f>EDATE($N$2, A51)</f>
        <v>0</v>
      </c>
    </row>
    <row r="52" spans="1:14">
      <c r="A52">
        <v>50</v>
      </c>
      <c r="B52" s="16">
        <f>MAX(0, B51-F52-G52-H52)</f>
        <v>0</v>
      </c>
      <c r="C52" s="16">
        <f>IF(B51-H52&gt;0, -PMT(Inputs!$C$7/12, MAX(1, Inputs!$C$8-A52+1), B51-H52), 0)</f>
        <v>0</v>
      </c>
      <c r="D52" s="16">
        <f>C52</f>
        <v>0</v>
      </c>
      <c r="E52" s="16">
        <f>(B51-H52)*Inputs!$C$7/12</f>
        <v>0</v>
      </c>
      <c r="F52" s="16">
        <f>IF(B51-H52&gt;0, MIN(B51-H52, MAX(0, D52-E52)), 0)</f>
        <v>0</v>
      </c>
      <c r="G52" s="16">
        <f>MAX(0, (B51-H52-F52))*(1-(1-Inputs!$C$9)^(1/12))</f>
        <v>0</v>
      </c>
      <c r="H52" s="16">
        <f>B51*(1-(1-Inputs!$C$10)^(1/12))</f>
        <v>0</v>
      </c>
      <c r="I52" s="16">
        <f>H52*Inputs!$C$11</f>
        <v>0</v>
      </c>
      <c r="J52" s="16">
        <f>E52</f>
        <v>0</v>
      </c>
      <c r="K52" s="16">
        <f>F52+G52+H52*(1-Inputs!$C$11)</f>
        <v>0</v>
      </c>
      <c r="L52" s="16">
        <f>L51+I52</f>
        <v>0</v>
      </c>
      <c r="M52" s="17">
        <f>L52/Inputs!$C$6</f>
        <v>0</v>
      </c>
      <c r="N52" s="18">
        <f>EDATE($N$2, A52)</f>
        <v>0</v>
      </c>
    </row>
    <row r="53" spans="1:14">
      <c r="A53">
        <v>51</v>
      </c>
      <c r="B53" s="16">
        <f>MAX(0, B52-F53-G53-H53)</f>
        <v>0</v>
      </c>
      <c r="C53" s="16">
        <f>IF(B52-H53&gt;0, -PMT(Inputs!$C$7/12, MAX(1, Inputs!$C$8-A53+1), B52-H53), 0)</f>
        <v>0</v>
      </c>
      <c r="D53" s="16">
        <f>C53</f>
        <v>0</v>
      </c>
      <c r="E53" s="16">
        <f>(B52-H53)*Inputs!$C$7/12</f>
        <v>0</v>
      </c>
      <c r="F53" s="16">
        <f>IF(B52-H53&gt;0, MIN(B52-H53, MAX(0, D53-E53)), 0)</f>
        <v>0</v>
      </c>
      <c r="G53" s="16">
        <f>MAX(0, (B52-H53-F53))*(1-(1-Inputs!$C$9)^(1/12))</f>
        <v>0</v>
      </c>
      <c r="H53" s="16">
        <f>B52*(1-(1-Inputs!$C$10)^(1/12))</f>
        <v>0</v>
      </c>
      <c r="I53" s="16">
        <f>H53*Inputs!$C$11</f>
        <v>0</v>
      </c>
      <c r="J53" s="16">
        <f>E53</f>
        <v>0</v>
      </c>
      <c r="K53" s="16">
        <f>F53+G53+H53*(1-Inputs!$C$11)</f>
        <v>0</v>
      </c>
      <c r="L53" s="16">
        <f>L52+I53</f>
        <v>0</v>
      </c>
      <c r="M53" s="17">
        <f>L53/Inputs!$C$6</f>
        <v>0</v>
      </c>
      <c r="N53" s="18">
        <f>EDATE($N$2, A53)</f>
        <v>0</v>
      </c>
    </row>
    <row r="54" spans="1:14">
      <c r="A54">
        <v>52</v>
      </c>
      <c r="B54" s="16">
        <f>MAX(0, B53-F54-G54-H54)</f>
        <v>0</v>
      </c>
      <c r="C54" s="16">
        <f>IF(B53-H54&gt;0, -PMT(Inputs!$C$7/12, MAX(1, Inputs!$C$8-A54+1), B53-H54), 0)</f>
        <v>0</v>
      </c>
      <c r="D54" s="16">
        <f>C54</f>
        <v>0</v>
      </c>
      <c r="E54" s="16">
        <f>(B53-H54)*Inputs!$C$7/12</f>
        <v>0</v>
      </c>
      <c r="F54" s="16">
        <f>IF(B53-H54&gt;0, MIN(B53-H54, MAX(0, D54-E54)), 0)</f>
        <v>0</v>
      </c>
      <c r="G54" s="16">
        <f>MAX(0, (B53-H54-F54))*(1-(1-Inputs!$C$9)^(1/12))</f>
        <v>0</v>
      </c>
      <c r="H54" s="16">
        <f>B53*(1-(1-Inputs!$C$10)^(1/12))</f>
        <v>0</v>
      </c>
      <c r="I54" s="16">
        <f>H54*Inputs!$C$11</f>
        <v>0</v>
      </c>
      <c r="J54" s="16">
        <f>E54</f>
        <v>0</v>
      </c>
      <c r="K54" s="16">
        <f>F54+G54+H54*(1-Inputs!$C$11)</f>
        <v>0</v>
      </c>
      <c r="L54" s="16">
        <f>L53+I54</f>
        <v>0</v>
      </c>
      <c r="M54" s="17">
        <f>L54/Inputs!$C$6</f>
        <v>0</v>
      </c>
      <c r="N54" s="18">
        <f>EDATE($N$2, A54)</f>
        <v>0</v>
      </c>
    </row>
    <row r="55" spans="1:14">
      <c r="A55">
        <v>53</v>
      </c>
      <c r="B55" s="16">
        <f>MAX(0, B54-F55-G55-H55)</f>
        <v>0</v>
      </c>
      <c r="C55" s="16">
        <f>IF(B54-H55&gt;0, -PMT(Inputs!$C$7/12, MAX(1, Inputs!$C$8-A55+1), B54-H55), 0)</f>
        <v>0</v>
      </c>
      <c r="D55" s="16">
        <f>C55</f>
        <v>0</v>
      </c>
      <c r="E55" s="16">
        <f>(B54-H55)*Inputs!$C$7/12</f>
        <v>0</v>
      </c>
      <c r="F55" s="16">
        <f>IF(B54-H55&gt;0, MIN(B54-H55, MAX(0, D55-E55)), 0)</f>
        <v>0</v>
      </c>
      <c r="G55" s="16">
        <f>MAX(0, (B54-H55-F55))*(1-(1-Inputs!$C$9)^(1/12))</f>
        <v>0</v>
      </c>
      <c r="H55" s="16">
        <f>B54*(1-(1-Inputs!$C$10)^(1/12))</f>
        <v>0</v>
      </c>
      <c r="I55" s="16">
        <f>H55*Inputs!$C$11</f>
        <v>0</v>
      </c>
      <c r="J55" s="16">
        <f>E55</f>
        <v>0</v>
      </c>
      <c r="K55" s="16">
        <f>F55+G55+H55*(1-Inputs!$C$11)</f>
        <v>0</v>
      </c>
      <c r="L55" s="16">
        <f>L54+I55</f>
        <v>0</v>
      </c>
      <c r="M55" s="17">
        <f>L55/Inputs!$C$6</f>
        <v>0</v>
      </c>
      <c r="N55" s="18">
        <f>EDATE($N$2, A55)</f>
        <v>0</v>
      </c>
    </row>
    <row r="56" spans="1:14">
      <c r="A56">
        <v>54</v>
      </c>
      <c r="B56" s="16">
        <f>MAX(0, B55-F56-G56-H56)</f>
        <v>0</v>
      </c>
      <c r="C56" s="16">
        <f>IF(B55-H56&gt;0, -PMT(Inputs!$C$7/12, MAX(1, Inputs!$C$8-A56+1), B55-H56), 0)</f>
        <v>0</v>
      </c>
      <c r="D56" s="16">
        <f>C56</f>
        <v>0</v>
      </c>
      <c r="E56" s="16">
        <f>(B55-H56)*Inputs!$C$7/12</f>
        <v>0</v>
      </c>
      <c r="F56" s="16">
        <f>IF(B55-H56&gt;0, MIN(B55-H56, MAX(0, D56-E56)), 0)</f>
        <v>0</v>
      </c>
      <c r="G56" s="16">
        <f>MAX(0, (B55-H56-F56))*(1-(1-Inputs!$C$9)^(1/12))</f>
        <v>0</v>
      </c>
      <c r="H56" s="16">
        <f>B55*(1-(1-Inputs!$C$10)^(1/12))</f>
        <v>0</v>
      </c>
      <c r="I56" s="16">
        <f>H56*Inputs!$C$11</f>
        <v>0</v>
      </c>
      <c r="J56" s="16">
        <f>E56</f>
        <v>0</v>
      </c>
      <c r="K56" s="16">
        <f>F56+G56+H56*(1-Inputs!$C$11)</f>
        <v>0</v>
      </c>
      <c r="L56" s="16">
        <f>L55+I56</f>
        <v>0</v>
      </c>
      <c r="M56" s="17">
        <f>L56/Inputs!$C$6</f>
        <v>0</v>
      </c>
      <c r="N56" s="18">
        <f>EDATE($N$2, A56)</f>
        <v>0</v>
      </c>
    </row>
    <row r="57" spans="1:14">
      <c r="A57">
        <v>55</v>
      </c>
      <c r="B57" s="16">
        <f>MAX(0, B56-F57-G57-H57)</f>
        <v>0</v>
      </c>
      <c r="C57" s="16">
        <f>IF(B56-H57&gt;0, -PMT(Inputs!$C$7/12, MAX(1, Inputs!$C$8-A57+1), B56-H57), 0)</f>
        <v>0</v>
      </c>
      <c r="D57" s="16">
        <f>C57</f>
        <v>0</v>
      </c>
      <c r="E57" s="16">
        <f>(B56-H57)*Inputs!$C$7/12</f>
        <v>0</v>
      </c>
      <c r="F57" s="16">
        <f>IF(B56-H57&gt;0, MIN(B56-H57, MAX(0, D57-E57)), 0)</f>
        <v>0</v>
      </c>
      <c r="G57" s="16">
        <f>MAX(0, (B56-H57-F57))*(1-(1-Inputs!$C$9)^(1/12))</f>
        <v>0</v>
      </c>
      <c r="H57" s="16">
        <f>B56*(1-(1-Inputs!$C$10)^(1/12))</f>
        <v>0</v>
      </c>
      <c r="I57" s="16">
        <f>H57*Inputs!$C$11</f>
        <v>0</v>
      </c>
      <c r="J57" s="16">
        <f>E57</f>
        <v>0</v>
      </c>
      <c r="K57" s="16">
        <f>F57+G57+H57*(1-Inputs!$C$11)</f>
        <v>0</v>
      </c>
      <c r="L57" s="16">
        <f>L56+I57</f>
        <v>0</v>
      </c>
      <c r="M57" s="17">
        <f>L57/Inputs!$C$6</f>
        <v>0</v>
      </c>
      <c r="N57" s="18">
        <f>EDATE($N$2, A57)</f>
        <v>0</v>
      </c>
    </row>
    <row r="58" spans="1:14">
      <c r="A58">
        <v>56</v>
      </c>
      <c r="B58" s="16">
        <f>MAX(0, B57-F58-G58-H58)</f>
        <v>0</v>
      </c>
      <c r="C58" s="16">
        <f>IF(B57-H58&gt;0, -PMT(Inputs!$C$7/12, MAX(1, Inputs!$C$8-A58+1), B57-H58), 0)</f>
        <v>0</v>
      </c>
      <c r="D58" s="16">
        <f>C58</f>
        <v>0</v>
      </c>
      <c r="E58" s="16">
        <f>(B57-H58)*Inputs!$C$7/12</f>
        <v>0</v>
      </c>
      <c r="F58" s="16">
        <f>IF(B57-H58&gt;0, MIN(B57-H58, MAX(0, D58-E58)), 0)</f>
        <v>0</v>
      </c>
      <c r="G58" s="16">
        <f>MAX(0, (B57-H58-F58))*(1-(1-Inputs!$C$9)^(1/12))</f>
        <v>0</v>
      </c>
      <c r="H58" s="16">
        <f>B57*(1-(1-Inputs!$C$10)^(1/12))</f>
        <v>0</v>
      </c>
      <c r="I58" s="16">
        <f>H58*Inputs!$C$11</f>
        <v>0</v>
      </c>
      <c r="J58" s="16">
        <f>E58</f>
        <v>0</v>
      </c>
      <c r="K58" s="16">
        <f>F58+G58+H58*(1-Inputs!$C$11)</f>
        <v>0</v>
      </c>
      <c r="L58" s="16">
        <f>L57+I58</f>
        <v>0</v>
      </c>
      <c r="M58" s="17">
        <f>L58/Inputs!$C$6</f>
        <v>0</v>
      </c>
      <c r="N58" s="18">
        <f>EDATE($N$2, A58)</f>
        <v>0</v>
      </c>
    </row>
    <row r="59" spans="1:14">
      <c r="A59">
        <v>57</v>
      </c>
      <c r="B59" s="16">
        <f>MAX(0, B58-F59-G59-H59)</f>
        <v>0</v>
      </c>
      <c r="C59" s="16">
        <f>IF(B58-H59&gt;0, -PMT(Inputs!$C$7/12, MAX(1, Inputs!$C$8-A59+1), B58-H59), 0)</f>
        <v>0</v>
      </c>
      <c r="D59" s="16">
        <f>C59</f>
        <v>0</v>
      </c>
      <c r="E59" s="16">
        <f>(B58-H59)*Inputs!$C$7/12</f>
        <v>0</v>
      </c>
      <c r="F59" s="16">
        <f>IF(B58-H59&gt;0, MIN(B58-H59, MAX(0, D59-E59)), 0)</f>
        <v>0</v>
      </c>
      <c r="G59" s="16">
        <f>MAX(0, (B58-H59-F59))*(1-(1-Inputs!$C$9)^(1/12))</f>
        <v>0</v>
      </c>
      <c r="H59" s="16">
        <f>B58*(1-(1-Inputs!$C$10)^(1/12))</f>
        <v>0</v>
      </c>
      <c r="I59" s="16">
        <f>H59*Inputs!$C$11</f>
        <v>0</v>
      </c>
      <c r="J59" s="16">
        <f>E59</f>
        <v>0</v>
      </c>
      <c r="K59" s="16">
        <f>F59+G59+H59*(1-Inputs!$C$11)</f>
        <v>0</v>
      </c>
      <c r="L59" s="16">
        <f>L58+I59</f>
        <v>0</v>
      </c>
      <c r="M59" s="17">
        <f>L59/Inputs!$C$6</f>
        <v>0</v>
      </c>
      <c r="N59" s="18">
        <f>EDATE($N$2, A59)</f>
        <v>0</v>
      </c>
    </row>
    <row r="60" spans="1:14">
      <c r="A60">
        <v>58</v>
      </c>
      <c r="B60" s="16">
        <f>MAX(0, B59-F60-G60-H60)</f>
        <v>0</v>
      </c>
      <c r="C60" s="16">
        <f>IF(B59-H60&gt;0, -PMT(Inputs!$C$7/12, MAX(1, Inputs!$C$8-A60+1), B59-H60), 0)</f>
        <v>0</v>
      </c>
      <c r="D60" s="16">
        <f>C60</f>
        <v>0</v>
      </c>
      <c r="E60" s="16">
        <f>(B59-H60)*Inputs!$C$7/12</f>
        <v>0</v>
      </c>
      <c r="F60" s="16">
        <f>IF(B59-H60&gt;0, MIN(B59-H60, MAX(0, D60-E60)), 0)</f>
        <v>0</v>
      </c>
      <c r="G60" s="16">
        <f>MAX(0, (B59-H60-F60))*(1-(1-Inputs!$C$9)^(1/12))</f>
        <v>0</v>
      </c>
      <c r="H60" s="16">
        <f>B59*(1-(1-Inputs!$C$10)^(1/12))</f>
        <v>0</v>
      </c>
      <c r="I60" s="16">
        <f>H60*Inputs!$C$11</f>
        <v>0</v>
      </c>
      <c r="J60" s="16">
        <f>E60</f>
        <v>0</v>
      </c>
      <c r="K60" s="16">
        <f>F60+G60+H60*(1-Inputs!$C$11)</f>
        <v>0</v>
      </c>
      <c r="L60" s="16">
        <f>L59+I60</f>
        <v>0</v>
      </c>
      <c r="M60" s="17">
        <f>L60/Inputs!$C$6</f>
        <v>0</v>
      </c>
      <c r="N60" s="18">
        <f>EDATE($N$2, A60)</f>
        <v>0</v>
      </c>
    </row>
    <row r="61" spans="1:14">
      <c r="A61">
        <v>59</v>
      </c>
      <c r="B61" s="16">
        <f>MAX(0, B60-F61-G61-H61)</f>
        <v>0</v>
      </c>
      <c r="C61" s="16">
        <f>IF(B60-H61&gt;0, -PMT(Inputs!$C$7/12, MAX(1, Inputs!$C$8-A61+1), B60-H61), 0)</f>
        <v>0</v>
      </c>
      <c r="D61" s="16">
        <f>C61</f>
        <v>0</v>
      </c>
      <c r="E61" s="16">
        <f>(B60-H61)*Inputs!$C$7/12</f>
        <v>0</v>
      </c>
      <c r="F61" s="16">
        <f>IF(B60-H61&gt;0, MIN(B60-H61, MAX(0, D61-E61)), 0)</f>
        <v>0</v>
      </c>
      <c r="G61" s="16">
        <f>MAX(0, (B60-H61-F61))*(1-(1-Inputs!$C$9)^(1/12))</f>
        <v>0</v>
      </c>
      <c r="H61" s="16">
        <f>B60*(1-(1-Inputs!$C$10)^(1/12))</f>
        <v>0</v>
      </c>
      <c r="I61" s="16">
        <f>H61*Inputs!$C$11</f>
        <v>0</v>
      </c>
      <c r="J61" s="16">
        <f>E61</f>
        <v>0</v>
      </c>
      <c r="K61" s="16">
        <f>F61+G61+H61*(1-Inputs!$C$11)</f>
        <v>0</v>
      </c>
      <c r="L61" s="16">
        <f>L60+I61</f>
        <v>0</v>
      </c>
      <c r="M61" s="17">
        <f>L61/Inputs!$C$6</f>
        <v>0</v>
      </c>
      <c r="N61" s="18">
        <f>EDATE($N$2, A61)</f>
        <v>0</v>
      </c>
    </row>
    <row r="62" spans="1:14">
      <c r="A62">
        <v>60</v>
      </c>
      <c r="B62" s="16">
        <f>MAX(0, B61-F62-G62-H62)</f>
        <v>0</v>
      </c>
      <c r="C62" s="16">
        <f>IF(B61-H62&gt;0, -PMT(Inputs!$C$7/12, MAX(1, Inputs!$C$8-A62+1), B61-H62), 0)</f>
        <v>0</v>
      </c>
      <c r="D62" s="16">
        <f>C62</f>
        <v>0</v>
      </c>
      <c r="E62" s="16">
        <f>(B61-H62)*Inputs!$C$7/12</f>
        <v>0</v>
      </c>
      <c r="F62" s="16">
        <f>IF(B61-H62&gt;0, MIN(B61-H62, MAX(0, D62-E62)), 0)</f>
        <v>0</v>
      </c>
      <c r="G62" s="16">
        <f>MAX(0, (B61-H62-F62))*(1-(1-Inputs!$C$9)^(1/12))</f>
        <v>0</v>
      </c>
      <c r="H62" s="16">
        <f>B61*(1-(1-Inputs!$C$10)^(1/12))</f>
        <v>0</v>
      </c>
      <c r="I62" s="16">
        <f>H62*Inputs!$C$11</f>
        <v>0</v>
      </c>
      <c r="J62" s="16">
        <f>E62</f>
        <v>0</v>
      </c>
      <c r="K62" s="16">
        <f>F62+G62+H62*(1-Inputs!$C$11)</f>
        <v>0</v>
      </c>
      <c r="L62" s="16">
        <f>L61+I62</f>
        <v>0</v>
      </c>
      <c r="M62" s="17">
        <f>L62/Inputs!$C$6</f>
        <v>0</v>
      </c>
      <c r="N62" s="18">
        <f>EDATE($N$2, A62)</f>
        <v>0</v>
      </c>
    </row>
    <row r="63" spans="1:14">
      <c r="A63">
        <v>61</v>
      </c>
      <c r="B63" s="16">
        <f>MAX(0, B62-F63-G63-H63)</f>
        <v>0</v>
      </c>
      <c r="C63" s="16">
        <f>IF(B62-H63&gt;0, -PMT(Inputs!$C$7/12, MAX(1, Inputs!$C$8-A63+1), B62-H63), 0)</f>
        <v>0</v>
      </c>
      <c r="D63" s="16">
        <f>C63</f>
        <v>0</v>
      </c>
      <c r="E63" s="16">
        <f>(B62-H63)*Inputs!$C$7/12</f>
        <v>0</v>
      </c>
      <c r="F63" s="16">
        <f>IF(B62-H63&gt;0, MIN(B62-H63, MAX(0, D63-E63)), 0)</f>
        <v>0</v>
      </c>
      <c r="G63" s="16">
        <f>MAX(0, (B62-H63-F63))*(1-(1-Inputs!$C$9)^(1/12))</f>
        <v>0</v>
      </c>
      <c r="H63" s="16">
        <f>B62*(1-(1-Inputs!$C$10)^(1/12))</f>
        <v>0</v>
      </c>
      <c r="I63" s="16">
        <f>H63*Inputs!$C$11</f>
        <v>0</v>
      </c>
      <c r="J63" s="16">
        <f>E63</f>
        <v>0</v>
      </c>
      <c r="K63" s="16">
        <f>F63+G63+H63*(1-Inputs!$C$11)</f>
        <v>0</v>
      </c>
      <c r="L63" s="16">
        <f>L62+I63</f>
        <v>0</v>
      </c>
      <c r="M63" s="17">
        <f>L63/Inputs!$C$6</f>
        <v>0</v>
      </c>
      <c r="N63" s="18">
        <f>EDATE($N$2, A63)</f>
        <v>0</v>
      </c>
    </row>
    <row r="64" spans="1:14">
      <c r="A64">
        <v>62</v>
      </c>
      <c r="B64" s="16">
        <f>MAX(0, B63-F64-G64-H64)</f>
        <v>0</v>
      </c>
      <c r="C64" s="16">
        <f>IF(B63-H64&gt;0, -PMT(Inputs!$C$7/12, MAX(1, Inputs!$C$8-A64+1), B63-H64), 0)</f>
        <v>0</v>
      </c>
      <c r="D64" s="16">
        <f>C64</f>
        <v>0</v>
      </c>
      <c r="E64" s="16">
        <f>(B63-H64)*Inputs!$C$7/12</f>
        <v>0</v>
      </c>
      <c r="F64" s="16">
        <f>IF(B63-H64&gt;0, MIN(B63-H64, MAX(0, D64-E64)), 0)</f>
        <v>0</v>
      </c>
      <c r="G64" s="16">
        <f>MAX(0, (B63-H64-F64))*(1-(1-Inputs!$C$9)^(1/12))</f>
        <v>0</v>
      </c>
      <c r="H64" s="16">
        <f>B63*(1-(1-Inputs!$C$10)^(1/12))</f>
        <v>0</v>
      </c>
      <c r="I64" s="16">
        <f>H64*Inputs!$C$11</f>
        <v>0</v>
      </c>
      <c r="J64" s="16">
        <f>E64</f>
        <v>0</v>
      </c>
      <c r="K64" s="16">
        <f>F64+G64+H64*(1-Inputs!$C$11)</f>
        <v>0</v>
      </c>
      <c r="L64" s="16">
        <f>L63+I64</f>
        <v>0</v>
      </c>
      <c r="M64" s="17">
        <f>L64/Inputs!$C$6</f>
        <v>0</v>
      </c>
      <c r="N64" s="18">
        <f>EDATE($N$2, A64)</f>
        <v>0</v>
      </c>
    </row>
    <row r="65" spans="1:14">
      <c r="A65">
        <v>63</v>
      </c>
      <c r="B65" s="16">
        <f>MAX(0, B64-F65-G65-H65)</f>
        <v>0</v>
      </c>
      <c r="C65" s="16">
        <f>IF(B64-H65&gt;0, -PMT(Inputs!$C$7/12, MAX(1, Inputs!$C$8-A65+1), B64-H65), 0)</f>
        <v>0</v>
      </c>
      <c r="D65" s="16">
        <f>C65</f>
        <v>0</v>
      </c>
      <c r="E65" s="16">
        <f>(B64-H65)*Inputs!$C$7/12</f>
        <v>0</v>
      </c>
      <c r="F65" s="16">
        <f>IF(B64-H65&gt;0, MIN(B64-H65, MAX(0, D65-E65)), 0)</f>
        <v>0</v>
      </c>
      <c r="G65" s="16">
        <f>MAX(0, (B64-H65-F65))*(1-(1-Inputs!$C$9)^(1/12))</f>
        <v>0</v>
      </c>
      <c r="H65" s="16">
        <f>B64*(1-(1-Inputs!$C$10)^(1/12))</f>
        <v>0</v>
      </c>
      <c r="I65" s="16">
        <f>H65*Inputs!$C$11</f>
        <v>0</v>
      </c>
      <c r="J65" s="16">
        <f>E65</f>
        <v>0</v>
      </c>
      <c r="K65" s="16">
        <f>F65+G65+H65*(1-Inputs!$C$11)</f>
        <v>0</v>
      </c>
      <c r="L65" s="16">
        <f>L64+I65</f>
        <v>0</v>
      </c>
      <c r="M65" s="17">
        <f>L65/Inputs!$C$6</f>
        <v>0</v>
      </c>
      <c r="N65" s="18">
        <f>EDATE($N$2, A65)</f>
        <v>0</v>
      </c>
    </row>
    <row r="66" spans="1:14">
      <c r="A66">
        <v>64</v>
      </c>
      <c r="B66" s="16">
        <f>MAX(0, B65-F66-G66-H66)</f>
        <v>0</v>
      </c>
      <c r="C66" s="16">
        <f>IF(B65-H66&gt;0, -PMT(Inputs!$C$7/12, MAX(1, Inputs!$C$8-A66+1), B65-H66), 0)</f>
        <v>0</v>
      </c>
      <c r="D66" s="16">
        <f>C66</f>
        <v>0</v>
      </c>
      <c r="E66" s="16">
        <f>(B65-H66)*Inputs!$C$7/12</f>
        <v>0</v>
      </c>
      <c r="F66" s="16">
        <f>IF(B65-H66&gt;0, MIN(B65-H66, MAX(0, D66-E66)), 0)</f>
        <v>0</v>
      </c>
      <c r="G66" s="16">
        <f>MAX(0, (B65-H66-F66))*(1-(1-Inputs!$C$9)^(1/12))</f>
        <v>0</v>
      </c>
      <c r="H66" s="16">
        <f>B65*(1-(1-Inputs!$C$10)^(1/12))</f>
        <v>0</v>
      </c>
      <c r="I66" s="16">
        <f>H66*Inputs!$C$11</f>
        <v>0</v>
      </c>
      <c r="J66" s="16">
        <f>E66</f>
        <v>0</v>
      </c>
      <c r="K66" s="16">
        <f>F66+G66+H66*(1-Inputs!$C$11)</f>
        <v>0</v>
      </c>
      <c r="L66" s="16">
        <f>L65+I66</f>
        <v>0</v>
      </c>
      <c r="M66" s="17">
        <f>L66/Inputs!$C$6</f>
        <v>0</v>
      </c>
      <c r="N66" s="18">
        <f>EDATE($N$2, A66)</f>
        <v>0</v>
      </c>
    </row>
    <row r="67" spans="1:14">
      <c r="A67">
        <v>65</v>
      </c>
      <c r="B67" s="16">
        <f>MAX(0, B66-F67-G67-H67)</f>
        <v>0</v>
      </c>
      <c r="C67" s="16">
        <f>IF(B66-H67&gt;0, -PMT(Inputs!$C$7/12, MAX(1, Inputs!$C$8-A67+1), B66-H67), 0)</f>
        <v>0</v>
      </c>
      <c r="D67" s="16">
        <f>C67</f>
        <v>0</v>
      </c>
      <c r="E67" s="16">
        <f>(B66-H67)*Inputs!$C$7/12</f>
        <v>0</v>
      </c>
      <c r="F67" s="16">
        <f>IF(B66-H67&gt;0, MIN(B66-H67, MAX(0, D67-E67)), 0)</f>
        <v>0</v>
      </c>
      <c r="G67" s="16">
        <f>MAX(0, (B66-H67-F67))*(1-(1-Inputs!$C$9)^(1/12))</f>
        <v>0</v>
      </c>
      <c r="H67" s="16">
        <f>B66*(1-(1-Inputs!$C$10)^(1/12))</f>
        <v>0</v>
      </c>
      <c r="I67" s="16">
        <f>H67*Inputs!$C$11</f>
        <v>0</v>
      </c>
      <c r="J67" s="16">
        <f>E67</f>
        <v>0</v>
      </c>
      <c r="K67" s="16">
        <f>F67+G67+H67*(1-Inputs!$C$11)</f>
        <v>0</v>
      </c>
      <c r="L67" s="16">
        <f>L66+I67</f>
        <v>0</v>
      </c>
      <c r="M67" s="17">
        <f>L67/Inputs!$C$6</f>
        <v>0</v>
      </c>
      <c r="N67" s="18">
        <f>EDATE($N$2, A67)</f>
        <v>0</v>
      </c>
    </row>
    <row r="68" spans="1:14">
      <c r="A68">
        <v>66</v>
      </c>
      <c r="B68" s="16">
        <f>MAX(0, B67-F68-G68-H68)</f>
        <v>0</v>
      </c>
      <c r="C68" s="16">
        <f>IF(B67-H68&gt;0, -PMT(Inputs!$C$7/12, MAX(1, Inputs!$C$8-A68+1), B67-H68), 0)</f>
        <v>0</v>
      </c>
      <c r="D68" s="16">
        <f>C68</f>
        <v>0</v>
      </c>
      <c r="E68" s="16">
        <f>(B67-H68)*Inputs!$C$7/12</f>
        <v>0</v>
      </c>
      <c r="F68" s="16">
        <f>IF(B67-H68&gt;0, MIN(B67-H68, MAX(0, D68-E68)), 0)</f>
        <v>0</v>
      </c>
      <c r="G68" s="16">
        <f>MAX(0, (B67-H68-F68))*(1-(1-Inputs!$C$9)^(1/12))</f>
        <v>0</v>
      </c>
      <c r="H68" s="16">
        <f>B67*(1-(1-Inputs!$C$10)^(1/12))</f>
        <v>0</v>
      </c>
      <c r="I68" s="16">
        <f>H68*Inputs!$C$11</f>
        <v>0</v>
      </c>
      <c r="J68" s="16">
        <f>E68</f>
        <v>0</v>
      </c>
      <c r="K68" s="16">
        <f>F68+G68+H68*(1-Inputs!$C$11)</f>
        <v>0</v>
      </c>
      <c r="L68" s="16">
        <f>L67+I68</f>
        <v>0</v>
      </c>
      <c r="M68" s="17">
        <f>L68/Inputs!$C$6</f>
        <v>0</v>
      </c>
      <c r="N68" s="18">
        <f>EDATE($N$2, A68)</f>
        <v>0</v>
      </c>
    </row>
    <row r="69" spans="1:14">
      <c r="A69">
        <v>67</v>
      </c>
      <c r="B69" s="16">
        <f>MAX(0, B68-F69-G69-H69)</f>
        <v>0</v>
      </c>
      <c r="C69" s="16">
        <f>IF(B68-H69&gt;0, -PMT(Inputs!$C$7/12, MAX(1, Inputs!$C$8-A69+1), B68-H69), 0)</f>
        <v>0</v>
      </c>
      <c r="D69" s="16">
        <f>C69</f>
        <v>0</v>
      </c>
      <c r="E69" s="16">
        <f>(B68-H69)*Inputs!$C$7/12</f>
        <v>0</v>
      </c>
      <c r="F69" s="16">
        <f>IF(B68-H69&gt;0, MIN(B68-H69, MAX(0, D69-E69)), 0)</f>
        <v>0</v>
      </c>
      <c r="G69" s="16">
        <f>MAX(0, (B68-H69-F69))*(1-(1-Inputs!$C$9)^(1/12))</f>
        <v>0</v>
      </c>
      <c r="H69" s="16">
        <f>B68*(1-(1-Inputs!$C$10)^(1/12))</f>
        <v>0</v>
      </c>
      <c r="I69" s="16">
        <f>H69*Inputs!$C$11</f>
        <v>0</v>
      </c>
      <c r="J69" s="16">
        <f>E69</f>
        <v>0</v>
      </c>
      <c r="K69" s="16">
        <f>F69+G69+H69*(1-Inputs!$C$11)</f>
        <v>0</v>
      </c>
      <c r="L69" s="16">
        <f>L68+I69</f>
        <v>0</v>
      </c>
      <c r="M69" s="17">
        <f>L69/Inputs!$C$6</f>
        <v>0</v>
      </c>
      <c r="N69" s="18">
        <f>EDATE($N$2, A69)</f>
        <v>0</v>
      </c>
    </row>
    <row r="70" spans="1:14">
      <c r="A70">
        <v>68</v>
      </c>
      <c r="B70" s="16">
        <f>MAX(0, B69-F70-G70-H70)</f>
        <v>0</v>
      </c>
      <c r="C70" s="16">
        <f>IF(B69-H70&gt;0, -PMT(Inputs!$C$7/12, MAX(1, Inputs!$C$8-A70+1), B69-H70), 0)</f>
        <v>0</v>
      </c>
      <c r="D70" s="16">
        <f>C70</f>
        <v>0</v>
      </c>
      <c r="E70" s="16">
        <f>(B69-H70)*Inputs!$C$7/12</f>
        <v>0</v>
      </c>
      <c r="F70" s="16">
        <f>IF(B69-H70&gt;0, MIN(B69-H70, MAX(0, D70-E70)), 0)</f>
        <v>0</v>
      </c>
      <c r="G70" s="16">
        <f>MAX(0, (B69-H70-F70))*(1-(1-Inputs!$C$9)^(1/12))</f>
        <v>0</v>
      </c>
      <c r="H70" s="16">
        <f>B69*(1-(1-Inputs!$C$10)^(1/12))</f>
        <v>0</v>
      </c>
      <c r="I70" s="16">
        <f>H70*Inputs!$C$11</f>
        <v>0</v>
      </c>
      <c r="J70" s="16">
        <f>E70</f>
        <v>0</v>
      </c>
      <c r="K70" s="16">
        <f>F70+G70+H70*(1-Inputs!$C$11)</f>
        <v>0</v>
      </c>
      <c r="L70" s="16">
        <f>L69+I70</f>
        <v>0</v>
      </c>
      <c r="M70" s="17">
        <f>L70/Inputs!$C$6</f>
        <v>0</v>
      </c>
      <c r="N70" s="18">
        <f>EDATE($N$2, A70)</f>
        <v>0</v>
      </c>
    </row>
    <row r="71" spans="1:14">
      <c r="A71">
        <v>69</v>
      </c>
      <c r="B71" s="16">
        <f>MAX(0, B70-F71-G71-H71)</f>
        <v>0</v>
      </c>
      <c r="C71" s="16">
        <f>IF(B70-H71&gt;0, -PMT(Inputs!$C$7/12, MAX(1, Inputs!$C$8-A71+1), B70-H71), 0)</f>
        <v>0</v>
      </c>
      <c r="D71" s="16">
        <f>C71</f>
        <v>0</v>
      </c>
      <c r="E71" s="16">
        <f>(B70-H71)*Inputs!$C$7/12</f>
        <v>0</v>
      </c>
      <c r="F71" s="16">
        <f>IF(B70-H71&gt;0, MIN(B70-H71, MAX(0, D71-E71)), 0)</f>
        <v>0</v>
      </c>
      <c r="G71" s="16">
        <f>MAX(0, (B70-H71-F71))*(1-(1-Inputs!$C$9)^(1/12))</f>
        <v>0</v>
      </c>
      <c r="H71" s="16">
        <f>B70*(1-(1-Inputs!$C$10)^(1/12))</f>
        <v>0</v>
      </c>
      <c r="I71" s="16">
        <f>H71*Inputs!$C$11</f>
        <v>0</v>
      </c>
      <c r="J71" s="16">
        <f>E71</f>
        <v>0</v>
      </c>
      <c r="K71" s="16">
        <f>F71+G71+H71*(1-Inputs!$C$11)</f>
        <v>0</v>
      </c>
      <c r="L71" s="16">
        <f>L70+I71</f>
        <v>0</v>
      </c>
      <c r="M71" s="17">
        <f>L71/Inputs!$C$6</f>
        <v>0</v>
      </c>
      <c r="N71" s="18">
        <f>EDATE($N$2, A71)</f>
        <v>0</v>
      </c>
    </row>
    <row r="72" spans="1:14">
      <c r="A72">
        <v>70</v>
      </c>
      <c r="B72" s="16">
        <f>MAX(0, B71-F72-G72-H72)</f>
        <v>0</v>
      </c>
      <c r="C72" s="16">
        <f>IF(B71-H72&gt;0, -PMT(Inputs!$C$7/12, MAX(1, Inputs!$C$8-A72+1), B71-H72), 0)</f>
        <v>0</v>
      </c>
      <c r="D72" s="16">
        <f>C72</f>
        <v>0</v>
      </c>
      <c r="E72" s="16">
        <f>(B71-H72)*Inputs!$C$7/12</f>
        <v>0</v>
      </c>
      <c r="F72" s="16">
        <f>IF(B71-H72&gt;0, MIN(B71-H72, MAX(0, D72-E72)), 0)</f>
        <v>0</v>
      </c>
      <c r="G72" s="16">
        <f>MAX(0, (B71-H72-F72))*(1-(1-Inputs!$C$9)^(1/12))</f>
        <v>0</v>
      </c>
      <c r="H72" s="16">
        <f>B71*(1-(1-Inputs!$C$10)^(1/12))</f>
        <v>0</v>
      </c>
      <c r="I72" s="16">
        <f>H72*Inputs!$C$11</f>
        <v>0</v>
      </c>
      <c r="J72" s="16">
        <f>E72</f>
        <v>0</v>
      </c>
      <c r="K72" s="16">
        <f>F72+G72+H72*(1-Inputs!$C$11)</f>
        <v>0</v>
      </c>
      <c r="L72" s="16">
        <f>L71+I72</f>
        <v>0</v>
      </c>
      <c r="M72" s="17">
        <f>L72/Inputs!$C$6</f>
        <v>0</v>
      </c>
      <c r="N72" s="18">
        <f>EDATE($N$2, A72)</f>
        <v>0</v>
      </c>
    </row>
    <row r="73" spans="1:14">
      <c r="A73">
        <v>71</v>
      </c>
      <c r="B73" s="16">
        <f>MAX(0, B72-F73-G73-H73)</f>
        <v>0</v>
      </c>
      <c r="C73" s="16">
        <f>IF(B72-H73&gt;0, -PMT(Inputs!$C$7/12, MAX(1, Inputs!$C$8-A73+1), B72-H73), 0)</f>
        <v>0</v>
      </c>
      <c r="D73" s="16">
        <f>C73</f>
        <v>0</v>
      </c>
      <c r="E73" s="16">
        <f>(B72-H73)*Inputs!$C$7/12</f>
        <v>0</v>
      </c>
      <c r="F73" s="16">
        <f>IF(B72-H73&gt;0, MIN(B72-H73, MAX(0, D73-E73)), 0)</f>
        <v>0</v>
      </c>
      <c r="G73" s="16">
        <f>MAX(0, (B72-H73-F73))*(1-(1-Inputs!$C$9)^(1/12))</f>
        <v>0</v>
      </c>
      <c r="H73" s="16">
        <f>B72*(1-(1-Inputs!$C$10)^(1/12))</f>
        <v>0</v>
      </c>
      <c r="I73" s="16">
        <f>H73*Inputs!$C$11</f>
        <v>0</v>
      </c>
      <c r="J73" s="16">
        <f>E73</f>
        <v>0</v>
      </c>
      <c r="K73" s="16">
        <f>F73+G73+H73*(1-Inputs!$C$11)</f>
        <v>0</v>
      </c>
      <c r="L73" s="16">
        <f>L72+I73</f>
        <v>0</v>
      </c>
      <c r="M73" s="17">
        <f>L73/Inputs!$C$6</f>
        <v>0</v>
      </c>
      <c r="N73" s="18">
        <f>EDATE($N$2, A73)</f>
        <v>0</v>
      </c>
    </row>
    <row r="74" spans="1:14">
      <c r="A74">
        <v>72</v>
      </c>
      <c r="B74" s="16">
        <f>MAX(0, B73-F74-G74-H74)</f>
        <v>0</v>
      </c>
      <c r="C74" s="16">
        <f>IF(B73-H74&gt;0, -PMT(Inputs!$C$7/12, MAX(1, Inputs!$C$8-A74+1), B73-H74), 0)</f>
        <v>0</v>
      </c>
      <c r="D74" s="16">
        <f>C74</f>
        <v>0</v>
      </c>
      <c r="E74" s="16">
        <f>(B73-H74)*Inputs!$C$7/12</f>
        <v>0</v>
      </c>
      <c r="F74" s="16">
        <f>IF(B73-H74&gt;0, MIN(B73-H74, MAX(0, D74-E74)), 0)</f>
        <v>0</v>
      </c>
      <c r="G74" s="16">
        <f>MAX(0, (B73-H74-F74))*(1-(1-Inputs!$C$9)^(1/12))</f>
        <v>0</v>
      </c>
      <c r="H74" s="16">
        <f>B73*(1-(1-Inputs!$C$10)^(1/12))</f>
        <v>0</v>
      </c>
      <c r="I74" s="16">
        <f>H74*Inputs!$C$11</f>
        <v>0</v>
      </c>
      <c r="J74" s="16">
        <f>E74</f>
        <v>0</v>
      </c>
      <c r="K74" s="16">
        <f>F74+G74+H74*(1-Inputs!$C$11)</f>
        <v>0</v>
      </c>
      <c r="L74" s="16">
        <f>L73+I74</f>
        <v>0</v>
      </c>
      <c r="M74" s="17">
        <f>L74/Inputs!$C$6</f>
        <v>0</v>
      </c>
      <c r="N74" s="18">
        <f>EDATE($N$2, A74)</f>
        <v>0</v>
      </c>
    </row>
    <row r="75" spans="1:14">
      <c r="A75">
        <v>73</v>
      </c>
      <c r="B75" s="16">
        <f>MAX(0, B74-F75-G75-H75)</f>
        <v>0</v>
      </c>
      <c r="C75" s="16">
        <f>IF(B74-H75&gt;0, -PMT(Inputs!$C$7/12, MAX(1, Inputs!$C$8-A75+1), B74-H75), 0)</f>
        <v>0</v>
      </c>
      <c r="D75" s="16">
        <f>C75</f>
        <v>0</v>
      </c>
      <c r="E75" s="16">
        <f>(B74-H75)*Inputs!$C$7/12</f>
        <v>0</v>
      </c>
      <c r="F75" s="16">
        <f>IF(B74-H75&gt;0, MIN(B74-H75, MAX(0, D75-E75)), 0)</f>
        <v>0</v>
      </c>
      <c r="G75" s="16">
        <f>MAX(0, (B74-H75-F75))*(1-(1-Inputs!$C$9)^(1/12))</f>
        <v>0</v>
      </c>
      <c r="H75" s="16">
        <f>B74*(1-(1-Inputs!$C$10)^(1/12))</f>
        <v>0</v>
      </c>
      <c r="I75" s="16">
        <f>H75*Inputs!$C$11</f>
        <v>0</v>
      </c>
      <c r="J75" s="16">
        <f>E75</f>
        <v>0</v>
      </c>
      <c r="K75" s="16">
        <f>F75+G75+H75*(1-Inputs!$C$11)</f>
        <v>0</v>
      </c>
      <c r="L75" s="16">
        <f>L74+I75</f>
        <v>0</v>
      </c>
      <c r="M75" s="17">
        <f>L75/Inputs!$C$6</f>
        <v>0</v>
      </c>
      <c r="N75" s="18">
        <f>EDATE($N$2, A75)</f>
        <v>0</v>
      </c>
    </row>
    <row r="76" spans="1:14">
      <c r="A76">
        <v>74</v>
      </c>
      <c r="B76" s="16">
        <f>MAX(0, B75-F76-G76-H76)</f>
        <v>0</v>
      </c>
      <c r="C76" s="16">
        <f>IF(B75-H76&gt;0, -PMT(Inputs!$C$7/12, MAX(1, Inputs!$C$8-A76+1), B75-H76), 0)</f>
        <v>0</v>
      </c>
      <c r="D76" s="16">
        <f>C76</f>
        <v>0</v>
      </c>
      <c r="E76" s="16">
        <f>(B75-H76)*Inputs!$C$7/12</f>
        <v>0</v>
      </c>
      <c r="F76" s="16">
        <f>IF(B75-H76&gt;0, MIN(B75-H76, MAX(0, D76-E76)), 0)</f>
        <v>0</v>
      </c>
      <c r="G76" s="16">
        <f>MAX(0, (B75-H76-F76))*(1-(1-Inputs!$C$9)^(1/12))</f>
        <v>0</v>
      </c>
      <c r="H76" s="16">
        <f>B75*(1-(1-Inputs!$C$10)^(1/12))</f>
        <v>0</v>
      </c>
      <c r="I76" s="16">
        <f>H76*Inputs!$C$11</f>
        <v>0</v>
      </c>
      <c r="J76" s="16">
        <f>E76</f>
        <v>0</v>
      </c>
      <c r="K76" s="16">
        <f>F76+G76+H76*(1-Inputs!$C$11)</f>
        <v>0</v>
      </c>
      <c r="L76" s="16">
        <f>L75+I76</f>
        <v>0</v>
      </c>
      <c r="M76" s="17">
        <f>L76/Inputs!$C$6</f>
        <v>0</v>
      </c>
      <c r="N76" s="18">
        <f>EDATE($N$2, A76)</f>
        <v>0</v>
      </c>
    </row>
    <row r="77" spans="1:14">
      <c r="A77">
        <v>75</v>
      </c>
      <c r="B77" s="16">
        <f>MAX(0, B76-F77-G77-H77)</f>
        <v>0</v>
      </c>
      <c r="C77" s="16">
        <f>IF(B76-H77&gt;0, -PMT(Inputs!$C$7/12, MAX(1, Inputs!$C$8-A77+1), B76-H77), 0)</f>
        <v>0</v>
      </c>
      <c r="D77" s="16">
        <f>C77</f>
        <v>0</v>
      </c>
      <c r="E77" s="16">
        <f>(B76-H77)*Inputs!$C$7/12</f>
        <v>0</v>
      </c>
      <c r="F77" s="16">
        <f>IF(B76-H77&gt;0, MIN(B76-H77, MAX(0, D77-E77)), 0)</f>
        <v>0</v>
      </c>
      <c r="G77" s="16">
        <f>MAX(0, (B76-H77-F77))*(1-(1-Inputs!$C$9)^(1/12))</f>
        <v>0</v>
      </c>
      <c r="H77" s="16">
        <f>B76*(1-(1-Inputs!$C$10)^(1/12))</f>
        <v>0</v>
      </c>
      <c r="I77" s="16">
        <f>H77*Inputs!$C$11</f>
        <v>0</v>
      </c>
      <c r="J77" s="16">
        <f>E77</f>
        <v>0</v>
      </c>
      <c r="K77" s="16">
        <f>F77+G77+H77*(1-Inputs!$C$11)</f>
        <v>0</v>
      </c>
      <c r="L77" s="16">
        <f>L76+I77</f>
        <v>0</v>
      </c>
      <c r="M77" s="17">
        <f>L77/Inputs!$C$6</f>
        <v>0</v>
      </c>
      <c r="N77" s="18">
        <f>EDATE($N$2, A77)</f>
        <v>0</v>
      </c>
    </row>
    <row r="78" spans="1:14">
      <c r="A78">
        <v>76</v>
      </c>
      <c r="B78" s="16">
        <f>MAX(0, B77-F78-G78-H78)</f>
        <v>0</v>
      </c>
      <c r="C78" s="16">
        <f>IF(B77-H78&gt;0, -PMT(Inputs!$C$7/12, MAX(1, Inputs!$C$8-A78+1), B77-H78), 0)</f>
        <v>0</v>
      </c>
      <c r="D78" s="16">
        <f>C78</f>
        <v>0</v>
      </c>
      <c r="E78" s="16">
        <f>(B77-H78)*Inputs!$C$7/12</f>
        <v>0</v>
      </c>
      <c r="F78" s="16">
        <f>IF(B77-H78&gt;0, MIN(B77-H78, MAX(0, D78-E78)), 0)</f>
        <v>0</v>
      </c>
      <c r="G78" s="16">
        <f>MAX(0, (B77-H78-F78))*(1-(1-Inputs!$C$9)^(1/12))</f>
        <v>0</v>
      </c>
      <c r="H78" s="16">
        <f>B77*(1-(1-Inputs!$C$10)^(1/12))</f>
        <v>0</v>
      </c>
      <c r="I78" s="16">
        <f>H78*Inputs!$C$11</f>
        <v>0</v>
      </c>
      <c r="J78" s="16">
        <f>E78</f>
        <v>0</v>
      </c>
      <c r="K78" s="16">
        <f>F78+G78+H78*(1-Inputs!$C$11)</f>
        <v>0</v>
      </c>
      <c r="L78" s="16">
        <f>L77+I78</f>
        <v>0</v>
      </c>
      <c r="M78" s="17">
        <f>L78/Inputs!$C$6</f>
        <v>0</v>
      </c>
      <c r="N78" s="18">
        <f>EDATE($N$2, A78)</f>
        <v>0</v>
      </c>
    </row>
    <row r="79" spans="1:14">
      <c r="A79">
        <v>77</v>
      </c>
      <c r="B79" s="16">
        <f>MAX(0, B78-F79-G79-H79)</f>
        <v>0</v>
      </c>
      <c r="C79" s="16">
        <f>IF(B78-H79&gt;0, -PMT(Inputs!$C$7/12, MAX(1, Inputs!$C$8-A79+1), B78-H79), 0)</f>
        <v>0</v>
      </c>
      <c r="D79" s="16">
        <f>C79</f>
        <v>0</v>
      </c>
      <c r="E79" s="16">
        <f>(B78-H79)*Inputs!$C$7/12</f>
        <v>0</v>
      </c>
      <c r="F79" s="16">
        <f>IF(B78-H79&gt;0, MIN(B78-H79, MAX(0, D79-E79)), 0)</f>
        <v>0</v>
      </c>
      <c r="G79" s="16">
        <f>MAX(0, (B78-H79-F79))*(1-(1-Inputs!$C$9)^(1/12))</f>
        <v>0</v>
      </c>
      <c r="H79" s="16">
        <f>B78*(1-(1-Inputs!$C$10)^(1/12))</f>
        <v>0</v>
      </c>
      <c r="I79" s="16">
        <f>H79*Inputs!$C$11</f>
        <v>0</v>
      </c>
      <c r="J79" s="16">
        <f>E79</f>
        <v>0</v>
      </c>
      <c r="K79" s="16">
        <f>F79+G79+H79*(1-Inputs!$C$11)</f>
        <v>0</v>
      </c>
      <c r="L79" s="16">
        <f>L78+I79</f>
        <v>0</v>
      </c>
      <c r="M79" s="17">
        <f>L79/Inputs!$C$6</f>
        <v>0</v>
      </c>
      <c r="N79" s="18">
        <f>EDATE($N$2, A79)</f>
        <v>0</v>
      </c>
    </row>
    <row r="80" spans="1:14">
      <c r="A80">
        <v>78</v>
      </c>
      <c r="B80" s="16">
        <f>MAX(0, B79-F80-G80-H80)</f>
        <v>0</v>
      </c>
      <c r="C80" s="16">
        <f>IF(B79-H80&gt;0, -PMT(Inputs!$C$7/12, MAX(1, Inputs!$C$8-A80+1), B79-H80), 0)</f>
        <v>0</v>
      </c>
      <c r="D80" s="16">
        <f>C80</f>
        <v>0</v>
      </c>
      <c r="E80" s="16">
        <f>(B79-H80)*Inputs!$C$7/12</f>
        <v>0</v>
      </c>
      <c r="F80" s="16">
        <f>IF(B79-H80&gt;0, MIN(B79-H80, MAX(0, D80-E80)), 0)</f>
        <v>0</v>
      </c>
      <c r="G80" s="16">
        <f>MAX(0, (B79-H80-F80))*(1-(1-Inputs!$C$9)^(1/12))</f>
        <v>0</v>
      </c>
      <c r="H80" s="16">
        <f>B79*(1-(1-Inputs!$C$10)^(1/12))</f>
        <v>0</v>
      </c>
      <c r="I80" s="16">
        <f>H80*Inputs!$C$11</f>
        <v>0</v>
      </c>
      <c r="J80" s="16">
        <f>E80</f>
        <v>0</v>
      </c>
      <c r="K80" s="16">
        <f>F80+G80+H80*(1-Inputs!$C$11)</f>
        <v>0</v>
      </c>
      <c r="L80" s="16">
        <f>L79+I80</f>
        <v>0</v>
      </c>
      <c r="M80" s="17">
        <f>L80/Inputs!$C$6</f>
        <v>0</v>
      </c>
      <c r="N80" s="18">
        <f>EDATE($N$2, A80)</f>
        <v>0</v>
      </c>
    </row>
    <row r="81" spans="1:14">
      <c r="A81">
        <v>79</v>
      </c>
      <c r="B81" s="16">
        <f>MAX(0, B80-F81-G81-H81)</f>
        <v>0</v>
      </c>
      <c r="C81" s="16">
        <f>IF(B80-H81&gt;0, -PMT(Inputs!$C$7/12, MAX(1, Inputs!$C$8-A81+1), B80-H81), 0)</f>
        <v>0</v>
      </c>
      <c r="D81" s="16">
        <f>C81</f>
        <v>0</v>
      </c>
      <c r="E81" s="16">
        <f>(B80-H81)*Inputs!$C$7/12</f>
        <v>0</v>
      </c>
      <c r="F81" s="16">
        <f>IF(B80-H81&gt;0, MIN(B80-H81, MAX(0, D81-E81)), 0)</f>
        <v>0</v>
      </c>
      <c r="G81" s="16">
        <f>MAX(0, (B80-H81-F81))*(1-(1-Inputs!$C$9)^(1/12))</f>
        <v>0</v>
      </c>
      <c r="H81" s="16">
        <f>B80*(1-(1-Inputs!$C$10)^(1/12))</f>
        <v>0</v>
      </c>
      <c r="I81" s="16">
        <f>H81*Inputs!$C$11</f>
        <v>0</v>
      </c>
      <c r="J81" s="16">
        <f>E81</f>
        <v>0</v>
      </c>
      <c r="K81" s="16">
        <f>F81+G81+H81*(1-Inputs!$C$11)</f>
        <v>0</v>
      </c>
      <c r="L81" s="16">
        <f>L80+I81</f>
        <v>0</v>
      </c>
      <c r="M81" s="17">
        <f>L81/Inputs!$C$6</f>
        <v>0</v>
      </c>
      <c r="N81" s="18">
        <f>EDATE($N$2, A81)</f>
        <v>0</v>
      </c>
    </row>
    <row r="82" spans="1:14">
      <c r="A82">
        <v>80</v>
      </c>
      <c r="B82" s="16">
        <f>MAX(0, B81-F82-G82-H82)</f>
        <v>0</v>
      </c>
      <c r="C82" s="16">
        <f>IF(B81-H82&gt;0, -PMT(Inputs!$C$7/12, MAX(1, Inputs!$C$8-A82+1), B81-H82), 0)</f>
        <v>0</v>
      </c>
      <c r="D82" s="16">
        <f>C82</f>
        <v>0</v>
      </c>
      <c r="E82" s="16">
        <f>(B81-H82)*Inputs!$C$7/12</f>
        <v>0</v>
      </c>
      <c r="F82" s="16">
        <f>IF(B81-H82&gt;0, MIN(B81-H82, MAX(0, D82-E82)), 0)</f>
        <v>0</v>
      </c>
      <c r="G82" s="16">
        <f>MAX(0, (B81-H82-F82))*(1-(1-Inputs!$C$9)^(1/12))</f>
        <v>0</v>
      </c>
      <c r="H82" s="16">
        <f>B81*(1-(1-Inputs!$C$10)^(1/12))</f>
        <v>0</v>
      </c>
      <c r="I82" s="16">
        <f>H82*Inputs!$C$11</f>
        <v>0</v>
      </c>
      <c r="J82" s="16">
        <f>E82</f>
        <v>0</v>
      </c>
      <c r="K82" s="16">
        <f>F82+G82+H82*(1-Inputs!$C$11)</f>
        <v>0</v>
      </c>
      <c r="L82" s="16">
        <f>L81+I82</f>
        <v>0</v>
      </c>
      <c r="M82" s="17">
        <f>L82/Inputs!$C$6</f>
        <v>0</v>
      </c>
      <c r="N82" s="18">
        <f>EDATE($N$2, A82)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outlineLevelCol="1"/>
  <cols>
    <col min="1" max="20" width="10.7109375" customWidth="1"/>
    <col min="21" max="23" width="10.7109375" hidden="1" customWidth="1" outlineLevel="1"/>
  </cols>
  <sheetData>
    <row r="1" spans="1:23">
      <c r="A1" s="3" t="s">
        <v>50</v>
      </c>
      <c r="B1" s="3" t="s">
        <v>64</v>
      </c>
      <c r="C1" s="3" t="s">
        <v>65</v>
      </c>
      <c r="D1" s="3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20" t="s">
        <v>71</v>
      </c>
      <c r="J1" s="20" t="s">
        <v>72</v>
      </c>
      <c r="K1" s="20" t="s">
        <v>73</v>
      </c>
      <c r="L1" s="20" t="s">
        <v>74</v>
      </c>
      <c r="M1" s="21" t="s">
        <v>75</v>
      </c>
      <c r="N1" s="21" t="s">
        <v>76</v>
      </c>
      <c r="O1" s="21" t="s">
        <v>77</v>
      </c>
      <c r="P1" s="21" t="s">
        <v>78</v>
      </c>
      <c r="Q1" s="3" t="s">
        <v>79</v>
      </c>
      <c r="R1" s="3" t="s">
        <v>80</v>
      </c>
      <c r="S1" s="3" t="s">
        <v>81</v>
      </c>
      <c r="T1" s="3" t="s">
        <v>63</v>
      </c>
      <c r="U1" s="22" t="s">
        <v>82</v>
      </c>
      <c r="V1" s="22" t="s">
        <v>83</v>
      </c>
      <c r="W1" s="22" t="s">
        <v>84</v>
      </c>
    </row>
    <row r="2" spans="1:23">
      <c r="A2">
        <v>0</v>
      </c>
      <c r="B2" s="16">
        <f>'Asset Side'!B2</f>
        <v>0</v>
      </c>
      <c r="C2" s="16">
        <v>0</v>
      </c>
      <c r="D2" s="16">
        <v>0</v>
      </c>
      <c r="E2" s="23" t="s">
        <v>18</v>
      </c>
      <c r="F2" s="24">
        <v>0</v>
      </c>
      <c r="G2" s="24">
        <v>0</v>
      </c>
      <c r="H2" s="24">
        <f>Inputs!$C$6*Inputs!$C$14</f>
        <v>0</v>
      </c>
      <c r="I2" s="23" t="s">
        <v>18</v>
      </c>
      <c r="J2" s="25">
        <v>0</v>
      </c>
      <c r="K2" s="25">
        <v>0</v>
      </c>
      <c r="L2" s="25">
        <f>Inputs!$C$6*Inputs!$C$15</f>
        <v>0</v>
      </c>
      <c r="M2" s="23" t="s">
        <v>18</v>
      </c>
      <c r="N2" s="26">
        <v>0</v>
      </c>
      <c r="O2" s="26">
        <v>0</v>
      </c>
      <c r="P2" s="26">
        <f>Inputs!$C$6*Inputs!$C$16</f>
        <v>0</v>
      </c>
      <c r="Q2" s="16">
        <v>0</v>
      </c>
      <c r="R2" s="16">
        <v>0</v>
      </c>
      <c r="S2" s="27" t="s">
        <v>85</v>
      </c>
      <c r="T2" s="28">
        <f>DATE(2025,1,1)</f>
        <v>0</v>
      </c>
      <c r="U2" s="16">
        <f>-Inputs!$C$6*Inputs!$C$14*Inputs!$C$22/100</f>
        <v>0</v>
      </c>
      <c r="V2" s="16">
        <f>-Inputs!$C$6*Inputs!$C$15*Inputs!$C$23/100</f>
        <v>0</v>
      </c>
      <c r="W2" s="16">
        <f>-Inputs!$C$6*Inputs!$C$16*Inputs!$C$24/100</f>
        <v>0</v>
      </c>
    </row>
    <row r="3" spans="1:23">
      <c r="A3">
        <v>1</v>
      </c>
      <c r="B3" s="16">
        <f>'Asset Side'!B2</f>
        <v>0</v>
      </c>
      <c r="C3" s="16">
        <f>'Asset Side'!J3+'Asset Side'!K3</f>
        <v>0</v>
      </c>
      <c r="D3" s="16">
        <f>MIN(C3, B2*Inputs!$C$21/12)</f>
        <v>0</v>
      </c>
      <c r="E3" s="23">
        <f>IF(AND(B3 &gt;= H2*Inputs!$C$27, Inputs!$C$31&lt;&gt;"Yes"), TRUE, FALSE)</f>
        <v>0</v>
      </c>
      <c r="F3" s="24">
        <f>MIN(H2*Inputs!$D$14/12, MAX(0, C3 - D3))</f>
        <v>0</v>
      </c>
      <c r="G3" s="24">
        <f>MIN(H2, MAX(0, C3 - D3 - F3 - J3 - N3))</f>
        <v>0</v>
      </c>
      <c r="H3" s="24">
        <f>MAX(0, H2 - G3)</f>
        <v>0</v>
      </c>
      <c r="I3" s="23">
        <f>IF(B3 &gt;= (H2+L2)*Inputs!$C$28, TRUE, FALSE)</f>
        <v>0</v>
      </c>
      <c r="J3" s="25">
        <f>IF(AND(E3=TRUE, A3&lt;=Inputs!$C$20), MIN(L2*Inputs!$D$15/12, MAX(0, C3 - D3 - F3)), 0)</f>
        <v>0</v>
      </c>
      <c r="K3" s="25">
        <f>IF(H3=0, MIN(L2, MAX(0, C3 - D3 - F3 - J3 - N3 - G3)), 0)</f>
        <v>0</v>
      </c>
      <c r="L3" s="25">
        <f>MAX(0, L2 - K3)</f>
        <v>0</v>
      </c>
      <c r="M3" s="23">
        <f>IF(B3 &gt;= (H2+L2+P2)*Inputs!$C$29, TRUE, FALSE)</f>
        <v>0</v>
      </c>
      <c r="N3" s="26">
        <f>IF(AND(I3=TRUE, A3&lt;=Inputs!$C$20), MIN(P2*Inputs!$D$16/12, MAX(0, C3 - D3 - F3 - J3)), 0)</f>
        <v>0</v>
      </c>
      <c r="O3" s="26">
        <f>IF(AND(H3=0, L3=0), MIN(P2, MAX(0, C3 - D3 - F3 - J3 - N3 - G3 - K3)), 0)</f>
        <v>0</v>
      </c>
      <c r="P3" s="26">
        <f>MAX(0, P2 - O3)</f>
        <v>0</v>
      </c>
      <c r="Q3" s="16">
        <f>IF(AND(E3=TRUE, I3=TRUE, M3=TRUE, A3&lt;=Inputs!$C$20), R3, 0)</f>
        <v>0</v>
      </c>
      <c r="R3" s="16">
        <f>MAX(0, C3 - D3 - F3 - J3 - N3 - G3 - K3 - O3)</f>
        <v>0</v>
      </c>
      <c r="S3" s="27">
        <f>IF(ABS(D3+(F3+J3+N3)+(G3+K3+O3)+R3-C3)&lt;1, "OK", "ERR")</f>
        <v>0</v>
      </c>
      <c r="T3" s="28">
        <f>EDATE($T$2, A3)</f>
        <v>0</v>
      </c>
      <c r="U3" s="16">
        <f>F3+G3</f>
        <v>0</v>
      </c>
      <c r="V3" s="16">
        <f>J3+K3</f>
        <v>0</v>
      </c>
      <c r="W3" s="16">
        <f>N3+O3</f>
        <v>0</v>
      </c>
    </row>
    <row r="4" spans="1:23">
      <c r="A4">
        <v>2</v>
      </c>
      <c r="B4" s="16">
        <f>'Asset Side'!B3</f>
        <v>0</v>
      </c>
      <c r="C4" s="16">
        <f>'Asset Side'!J4+'Asset Side'!K4</f>
        <v>0</v>
      </c>
      <c r="D4" s="16">
        <f>MIN(C4, B3*Inputs!$C$21/12)</f>
        <v>0</v>
      </c>
      <c r="E4" s="23">
        <f>IF(AND(B4 &gt;= H3*Inputs!$C$27, Inputs!$C$31&lt;&gt;"Yes"), TRUE, FALSE)</f>
        <v>0</v>
      </c>
      <c r="F4" s="24">
        <f>MIN(H3*Inputs!$D$14/12, MAX(0, C4 - D4))</f>
        <v>0</v>
      </c>
      <c r="G4" s="24">
        <f>MIN(H3, MAX(0, C4 - D4 - F4 - J4 - N4))</f>
        <v>0</v>
      </c>
      <c r="H4" s="24">
        <f>MAX(0, H3 - G4)</f>
        <v>0</v>
      </c>
      <c r="I4" s="23">
        <f>IF(B4 &gt;= (H3+L3)*Inputs!$C$28, TRUE, FALSE)</f>
        <v>0</v>
      </c>
      <c r="J4" s="25">
        <f>IF(AND(E4=TRUE, A4&lt;=Inputs!$C$20), MIN(L3*Inputs!$D$15/12, MAX(0, C4 - D4 - F4)), 0)</f>
        <v>0</v>
      </c>
      <c r="K4" s="25">
        <f>IF(H4=0, MIN(L3, MAX(0, C4 - D4 - F4 - J4 - N4 - G4)), 0)</f>
        <v>0</v>
      </c>
      <c r="L4" s="25">
        <f>MAX(0, L3 - K4)</f>
        <v>0</v>
      </c>
      <c r="M4" s="23">
        <f>IF(B4 &gt;= (H3+L3+P3)*Inputs!$C$29, TRUE, FALSE)</f>
        <v>0</v>
      </c>
      <c r="N4" s="26">
        <f>IF(AND(I4=TRUE, A4&lt;=Inputs!$C$20), MIN(P3*Inputs!$D$16/12, MAX(0, C4 - D4 - F4 - J4)), 0)</f>
        <v>0</v>
      </c>
      <c r="O4" s="26">
        <f>IF(AND(H4=0, L4=0), MIN(P3, MAX(0, C4 - D4 - F4 - J4 - N4 - G4 - K4)), 0)</f>
        <v>0</v>
      </c>
      <c r="P4" s="26">
        <f>MAX(0, P3 - O4)</f>
        <v>0</v>
      </c>
      <c r="Q4" s="16">
        <f>IF(AND(E4=TRUE, I4=TRUE, M4=TRUE, A4&lt;=Inputs!$C$20), R4, 0)</f>
        <v>0</v>
      </c>
      <c r="R4" s="16">
        <f>MAX(0, C4 - D4 - F4 - J4 - N4 - G4 - K4 - O4)</f>
        <v>0</v>
      </c>
      <c r="S4" s="27">
        <f>IF(ABS(D4+(F4+J4+N4)+(G4+K4+O4)+R4-C4)&lt;1, "OK", "ERR")</f>
        <v>0</v>
      </c>
      <c r="T4" s="28">
        <f>EDATE($T$2, A4)</f>
        <v>0</v>
      </c>
      <c r="U4" s="16">
        <f>F4+G4</f>
        <v>0</v>
      </c>
      <c r="V4" s="16">
        <f>J4+K4</f>
        <v>0</v>
      </c>
      <c r="W4" s="16">
        <f>N4+O4</f>
        <v>0</v>
      </c>
    </row>
    <row r="5" spans="1:23">
      <c r="A5">
        <v>3</v>
      </c>
      <c r="B5" s="16">
        <f>'Asset Side'!B4</f>
        <v>0</v>
      </c>
      <c r="C5" s="16">
        <f>'Asset Side'!J5+'Asset Side'!K5</f>
        <v>0</v>
      </c>
      <c r="D5" s="16">
        <f>MIN(C5, B4*Inputs!$C$21/12)</f>
        <v>0</v>
      </c>
      <c r="E5" s="23">
        <f>IF(AND(B5 &gt;= H4*Inputs!$C$27, Inputs!$C$31&lt;&gt;"Yes"), TRUE, FALSE)</f>
        <v>0</v>
      </c>
      <c r="F5" s="24">
        <f>MIN(H4*Inputs!$D$14/12, MAX(0, C5 - D5))</f>
        <v>0</v>
      </c>
      <c r="G5" s="24">
        <f>MIN(H4, MAX(0, C5 - D5 - F5 - J5 - N5))</f>
        <v>0</v>
      </c>
      <c r="H5" s="24">
        <f>MAX(0, H4 - G5)</f>
        <v>0</v>
      </c>
      <c r="I5" s="23">
        <f>IF(B5 &gt;= (H4+L4)*Inputs!$C$28, TRUE, FALSE)</f>
        <v>0</v>
      </c>
      <c r="J5" s="25">
        <f>IF(AND(E5=TRUE, A5&lt;=Inputs!$C$20), MIN(L4*Inputs!$D$15/12, MAX(0, C5 - D5 - F5)), 0)</f>
        <v>0</v>
      </c>
      <c r="K5" s="25">
        <f>IF(H5=0, MIN(L4, MAX(0, C5 - D5 - F5 - J5 - N5 - G5)), 0)</f>
        <v>0</v>
      </c>
      <c r="L5" s="25">
        <f>MAX(0, L4 - K5)</f>
        <v>0</v>
      </c>
      <c r="M5" s="23">
        <f>IF(B5 &gt;= (H4+L4+P4)*Inputs!$C$29, TRUE, FALSE)</f>
        <v>0</v>
      </c>
      <c r="N5" s="26">
        <f>IF(AND(I5=TRUE, A5&lt;=Inputs!$C$20), MIN(P4*Inputs!$D$16/12, MAX(0, C5 - D5 - F5 - J5)), 0)</f>
        <v>0</v>
      </c>
      <c r="O5" s="26">
        <f>IF(AND(H5=0, L5=0), MIN(P4, MAX(0, C5 - D5 - F5 - J5 - N5 - G5 - K5)), 0)</f>
        <v>0</v>
      </c>
      <c r="P5" s="26">
        <f>MAX(0, P4 - O5)</f>
        <v>0</v>
      </c>
      <c r="Q5" s="16">
        <f>IF(AND(E5=TRUE, I5=TRUE, M5=TRUE, A5&lt;=Inputs!$C$20), R5, 0)</f>
        <v>0</v>
      </c>
      <c r="R5" s="16">
        <f>MAX(0, C5 - D5 - F5 - J5 - N5 - G5 - K5 - O5)</f>
        <v>0</v>
      </c>
      <c r="S5" s="27">
        <f>IF(ABS(D5+(F5+J5+N5)+(G5+K5+O5)+R5-C5)&lt;1, "OK", "ERR")</f>
        <v>0</v>
      </c>
      <c r="T5" s="28">
        <f>EDATE($T$2, A5)</f>
        <v>0</v>
      </c>
      <c r="U5" s="16">
        <f>F5+G5</f>
        <v>0</v>
      </c>
      <c r="V5" s="16">
        <f>J5+K5</f>
        <v>0</v>
      </c>
      <c r="W5" s="16">
        <f>N5+O5</f>
        <v>0</v>
      </c>
    </row>
    <row r="6" spans="1:23">
      <c r="A6">
        <v>4</v>
      </c>
      <c r="B6" s="16">
        <f>'Asset Side'!B5</f>
        <v>0</v>
      </c>
      <c r="C6" s="16">
        <f>'Asset Side'!J6+'Asset Side'!K6</f>
        <v>0</v>
      </c>
      <c r="D6" s="16">
        <f>MIN(C6, B5*Inputs!$C$21/12)</f>
        <v>0</v>
      </c>
      <c r="E6" s="23">
        <f>IF(AND(B6 &gt;= H5*Inputs!$C$27, Inputs!$C$31&lt;&gt;"Yes"), TRUE, FALSE)</f>
        <v>0</v>
      </c>
      <c r="F6" s="24">
        <f>MIN(H5*Inputs!$D$14/12, MAX(0, C6 - D6))</f>
        <v>0</v>
      </c>
      <c r="G6" s="24">
        <f>MIN(H5, MAX(0, C6 - D6 - F6 - J6 - N6))</f>
        <v>0</v>
      </c>
      <c r="H6" s="24">
        <f>MAX(0, H5 - G6)</f>
        <v>0</v>
      </c>
      <c r="I6" s="23">
        <f>IF(B6 &gt;= (H5+L5)*Inputs!$C$28, TRUE, FALSE)</f>
        <v>0</v>
      </c>
      <c r="J6" s="25">
        <f>IF(AND(E6=TRUE, A6&lt;=Inputs!$C$20), MIN(L5*Inputs!$D$15/12, MAX(0, C6 - D6 - F6)), 0)</f>
        <v>0</v>
      </c>
      <c r="K6" s="25">
        <f>IF(H6=0, MIN(L5, MAX(0, C6 - D6 - F6 - J6 - N6 - G6)), 0)</f>
        <v>0</v>
      </c>
      <c r="L6" s="25">
        <f>MAX(0, L5 - K6)</f>
        <v>0</v>
      </c>
      <c r="M6" s="23">
        <f>IF(B6 &gt;= (H5+L5+P5)*Inputs!$C$29, TRUE, FALSE)</f>
        <v>0</v>
      </c>
      <c r="N6" s="26">
        <f>IF(AND(I6=TRUE, A6&lt;=Inputs!$C$20), MIN(P5*Inputs!$D$16/12, MAX(0, C6 - D6 - F6 - J6)), 0)</f>
        <v>0</v>
      </c>
      <c r="O6" s="26">
        <f>IF(AND(H6=0, L6=0), MIN(P5, MAX(0, C6 - D6 - F6 - J6 - N6 - G6 - K6)), 0)</f>
        <v>0</v>
      </c>
      <c r="P6" s="26">
        <f>MAX(0, P5 - O6)</f>
        <v>0</v>
      </c>
      <c r="Q6" s="16">
        <f>IF(AND(E6=TRUE, I6=TRUE, M6=TRUE, A6&lt;=Inputs!$C$20), R6, 0)</f>
        <v>0</v>
      </c>
      <c r="R6" s="16">
        <f>MAX(0, C6 - D6 - F6 - J6 - N6 - G6 - K6 - O6)</f>
        <v>0</v>
      </c>
      <c r="S6" s="27">
        <f>IF(ABS(D6+(F6+J6+N6)+(G6+K6+O6)+R6-C6)&lt;1, "OK", "ERR")</f>
        <v>0</v>
      </c>
      <c r="T6" s="28">
        <f>EDATE($T$2, A6)</f>
        <v>0</v>
      </c>
      <c r="U6" s="16">
        <f>F6+G6</f>
        <v>0</v>
      </c>
      <c r="V6" s="16">
        <f>J6+K6</f>
        <v>0</v>
      </c>
      <c r="W6" s="16">
        <f>N6+O6</f>
        <v>0</v>
      </c>
    </row>
    <row r="7" spans="1:23">
      <c r="A7">
        <v>5</v>
      </c>
      <c r="B7" s="16">
        <f>'Asset Side'!B6</f>
        <v>0</v>
      </c>
      <c r="C7" s="16">
        <f>'Asset Side'!J7+'Asset Side'!K7</f>
        <v>0</v>
      </c>
      <c r="D7" s="16">
        <f>MIN(C7, B6*Inputs!$C$21/12)</f>
        <v>0</v>
      </c>
      <c r="E7" s="23">
        <f>IF(AND(B7 &gt;= H6*Inputs!$C$27, Inputs!$C$31&lt;&gt;"Yes"), TRUE, FALSE)</f>
        <v>0</v>
      </c>
      <c r="F7" s="24">
        <f>MIN(H6*Inputs!$D$14/12, MAX(0, C7 - D7))</f>
        <v>0</v>
      </c>
      <c r="G7" s="24">
        <f>MIN(H6, MAX(0, C7 - D7 - F7 - J7 - N7))</f>
        <v>0</v>
      </c>
      <c r="H7" s="24">
        <f>MAX(0, H6 - G7)</f>
        <v>0</v>
      </c>
      <c r="I7" s="23">
        <f>IF(B7 &gt;= (H6+L6)*Inputs!$C$28, TRUE, FALSE)</f>
        <v>0</v>
      </c>
      <c r="J7" s="25">
        <f>IF(AND(E7=TRUE, A7&lt;=Inputs!$C$20), MIN(L6*Inputs!$D$15/12, MAX(0, C7 - D7 - F7)), 0)</f>
        <v>0</v>
      </c>
      <c r="K7" s="25">
        <f>IF(H7=0, MIN(L6, MAX(0, C7 - D7 - F7 - J7 - N7 - G7)), 0)</f>
        <v>0</v>
      </c>
      <c r="L7" s="25">
        <f>MAX(0, L6 - K7)</f>
        <v>0</v>
      </c>
      <c r="M7" s="23">
        <f>IF(B7 &gt;= (H6+L6+P6)*Inputs!$C$29, TRUE, FALSE)</f>
        <v>0</v>
      </c>
      <c r="N7" s="26">
        <f>IF(AND(I7=TRUE, A7&lt;=Inputs!$C$20), MIN(P6*Inputs!$D$16/12, MAX(0, C7 - D7 - F7 - J7)), 0)</f>
        <v>0</v>
      </c>
      <c r="O7" s="26">
        <f>IF(AND(H7=0, L7=0), MIN(P6, MAX(0, C7 - D7 - F7 - J7 - N7 - G7 - K7)), 0)</f>
        <v>0</v>
      </c>
      <c r="P7" s="26">
        <f>MAX(0, P6 - O7)</f>
        <v>0</v>
      </c>
      <c r="Q7" s="16">
        <f>IF(AND(E7=TRUE, I7=TRUE, M7=TRUE, A7&lt;=Inputs!$C$20), R7, 0)</f>
        <v>0</v>
      </c>
      <c r="R7" s="16">
        <f>MAX(0, C7 - D7 - F7 - J7 - N7 - G7 - K7 - O7)</f>
        <v>0</v>
      </c>
      <c r="S7" s="27">
        <f>IF(ABS(D7+(F7+J7+N7)+(G7+K7+O7)+R7-C7)&lt;1, "OK", "ERR")</f>
        <v>0</v>
      </c>
      <c r="T7" s="28">
        <f>EDATE($T$2, A7)</f>
        <v>0</v>
      </c>
      <c r="U7" s="16">
        <f>F7+G7</f>
        <v>0</v>
      </c>
      <c r="V7" s="16">
        <f>J7+K7</f>
        <v>0</v>
      </c>
      <c r="W7" s="16">
        <f>N7+O7</f>
        <v>0</v>
      </c>
    </row>
    <row r="8" spans="1:23">
      <c r="A8">
        <v>6</v>
      </c>
      <c r="B8" s="16">
        <f>'Asset Side'!B7</f>
        <v>0</v>
      </c>
      <c r="C8" s="16">
        <f>'Asset Side'!J8+'Asset Side'!K8</f>
        <v>0</v>
      </c>
      <c r="D8" s="16">
        <f>MIN(C8, B7*Inputs!$C$21/12)</f>
        <v>0</v>
      </c>
      <c r="E8" s="23">
        <f>IF(AND(B8 &gt;= H7*Inputs!$C$27, Inputs!$C$31&lt;&gt;"Yes"), TRUE, FALSE)</f>
        <v>0</v>
      </c>
      <c r="F8" s="24">
        <f>MIN(H7*Inputs!$D$14/12, MAX(0, C8 - D8))</f>
        <v>0</v>
      </c>
      <c r="G8" s="24">
        <f>MIN(H7, MAX(0, C8 - D8 - F8 - J8 - N8))</f>
        <v>0</v>
      </c>
      <c r="H8" s="24">
        <f>MAX(0, H7 - G8)</f>
        <v>0</v>
      </c>
      <c r="I8" s="23">
        <f>IF(B8 &gt;= (H7+L7)*Inputs!$C$28, TRUE, FALSE)</f>
        <v>0</v>
      </c>
      <c r="J8" s="25">
        <f>IF(AND(E8=TRUE, A8&lt;=Inputs!$C$20), MIN(L7*Inputs!$D$15/12, MAX(0, C8 - D8 - F8)), 0)</f>
        <v>0</v>
      </c>
      <c r="K8" s="25">
        <f>IF(H8=0, MIN(L7, MAX(0, C8 - D8 - F8 - J8 - N8 - G8)), 0)</f>
        <v>0</v>
      </c>
      <c r="L8" s="25">
        <f>MAX(0, L7 - K8)</f>
        <v>0</v>
      </c>
      <c r="M8" s="23">
        <f>IF(B8 &gt;= (H7+L7+P7)*Inputs!$C$29, TRUE, FALSE)</f>
        <v>0</v>
      </c>
      <c r="N8" s="26">
        <f>IF(AND(I8=TRUE, A8&lt;=Inputs!$C$20), MIN(P7*Inputs!$D$16/12, MAX(0, C8 - D8 - F8 - J8)), 0)</f>
        <v>0</v>
      </c>
      <c r="O8" s="26">
        <f>IF(AND(H8=0, L8=0), MIN(P7, MAX(0, C8 - D8 - F8 - J8 - N8 - G8 - K8)), 0)</f>
        <v>0</v>
      </c>
      <c r="P8" s="26">
        <f>MAX(0, P7 - O8)</f>
        <v>0</v>
      </c>
      <c r="Q8" s="16">
        <f>IF(AND(E8=TRUE, I8=TRUE, M8=TRUE, A8&lt;=Inputs!$C$20), R8, 0)</f>
        <v>0</v>
      </c>
      <c r="R8" s="16">
        <f>MAX(0, C8 - D8 - F8 - J8 - N8 - G8 - K8 - O8)</f>
        <v>0</v>
      </c>
      <c r="S8" s="27">
        <f>IF(ABS(D8+(F8+J8+N8)+(G8+K8+O8)+R8-C8)&lt;1, "OK", "ERR")</f>
        <v>0</v>
      </c>
      <c r="T8" s="28">
        <f>EDATE($T$2, A8)</f>
        <v>0</v>
      </c>
      <c r="U8" s="16">
        <f>F8+G8</f>
        <v>0</v>
      </c>
      <c r="V8" s="16">
        <f>J8+K8</f>
        <v>0</v>
      </c>
      <c r="W8" s="16">
        <f>N8+O8</f>
        <v>0</v>
      </c>
    </row>
    <row r="9" spans="1:23">
      <c r="A9">
        <v>7</v>
      </c>
      <c r="B9" s="16">
        <f>'Asset Side'!B8</f>
        <v>0</v>
      </c>
      <c r="C9" s="16">
        <f>'Asset Side'!J9+'Asset Side'!K9</f>
        <v>0</v>
      </c>
      <c r="D9" s="16">
        <f>MIN(C9, B8*Inputs!$C$21/12)</f>
        <v>0</v>
      </c>
      <c r="E9" s="23">
        <f>IF(AND(B9 &gt;= H8*Inputs!$C$27, Inputs!$C$31&lt;&gt;"Yes"), TRUE, FALSE)</f>
        <v>0</v>
      </c>
      <c r="F9" s="24">
        <f>MIN(H8*Inputs!$D$14/12, MAX(0, C9 - D9))</f>
        <v>0</v>
      </c>
      <c r="G9" s="24">
        <f>MIN(H8, MAX(0, C9 - D9 - F9 - J9 - N9))</f>
        <v>0</v>
      </c>
      <c r="H9" s="24">
        <f>MAX(0, H8 - G9)</f>
        <v>0</v>
      </c>
      <c r="I9" s="23">
        <f>IF(B9 &gt;= (H8+L8)*Inputs!$C$28, TRUE, FALSE)</f>
        <v>0</v>
      </c>
      <c r="J9" s="25">
        <f>IF(AND(E9=TRUE, A9&lt;=Inputs!$C$20), MIN(L8*Inputs!$D$15/12, MAX(0, C9 - D9 - F9)), 0)</f>
        <v>0</v>
      </c>
      <c r="K9" s="25">
        <f>IF(H9=0, MIN(L8, MAX(0, C9 - D9 - F9 - J9 - N9 - G9)), 0)</f>
        <v>0</v>
      </c>
      <c r="L9" s="25">
        <f>MAX(0, L8 - K9)</f>
        <v>0</v>
      </c>
      <c r="M9" s="23">
        <f>IF(B9 &gt;= (H8+L8+P8)*Inputs!$C$29, TRUE, FALSE)</f>
        <v>0</v>
      </c>
      <c r="N9" s="26">
        <f>IF(AND(I9=TRUE, A9&lt;=Inputs!$C$20), MIN(P8*Inputs!$D$16/12, MAX(0, C9 - D9 - F9 - J9)), 0)</f>
        <v>0</v>
      </c>
      <c r="O9" s="26">
        <f>IF(AND(H9=0, L9=0), MIN(P8, MAX(0, C9 - D9 - F9 - J9 - N9 - G9 - K9)), 0)</f>
        <v>0</v>
      </c>
      <c r="P9" s="26">
        <f>MAX(0, P8 - O9)</f>
        <v>0</v>
      </c>
      <c r="Q9" s="16">
        <f>IF(AND(E9=TRUE, I9=TRUE, M9=TRUE, A9&lt;=Inputs!$C$20), R9, 0)</f>
        <v>0</v>
      </c>
      <c r="R9" s="16">
        <f>MAX(0, C9 - D9 - F9 - J9 - N9 - G9 - K9 - O9)</f>
        <v>0</v>
      </c>
      <c r="S9" s="27">
        <f>IF(ABS(D9+(F9+J9+N9)+(G9+K9+O9)+R9-C9)&lt;1, "OK", "ERR")</f>
        <v>0</v>
      </c>
      <c r="T9" s="28">
        <f>EDATE($T$2, A9)</f>
        <v>0</v>
      </c>
      <c r="U9" s="16">
        <f>F9+G9</f>
        <v>0</v>
      </c>
      <c r="V9" s="16">
        <f>J9+K9</f>
        <v>0</v>
      </c>
      <c r="W9" s="16">
        <f>N9+O9</f>
        <v>0</v>
      </c>
    </row>
    <row r="10" spans="1:23">
      <c r="A10">
        <v>8</v>
      </c>
      <c r="B10" s="16">
        <f>'Asset Side'!B9</f>
        <v>0</v>
      </c>
      <c r="C10" s="16">
        <f>'Asset Side'!J10+'Asset Side'!K10</f>
        <v>0</v>
      </c>
      <c r="D10" s="16">
        <f>MIN(C10, B9*Inputs!$C$21/12)</f>
        <v>0</v>
      </c>
      <c r="E10" s="23">
        <f>IF(AND(B10 &gt;= H9*Inputs!$C$27, Inputs!$C$31&lt;&gt;"Yes"), TRUE, FALSE)</f>
        <v>0</v>
      </c>
      <c r="F10" s="24">
        <f>MIN(H9*Inputs!$D$14/12, MAX(0, C10 - D10))</f>
        <v>0</v>
      </c>
      <c r="G10" s="24">
        <f>MIN(H9, MAX(0, C10 - D10 - F10 - J10 - N10))</f>
        <v>0</v>
      </c>
      <c r="H10" s="24">
        <f>MAX(0, H9 - G10)</f>
        <v>0</v>
      </c>
      <c r="I10" s="23">
        <f>IF(B10 &gt;= (H9+L9)*Inputs!$C$28, TRUE, FALSE)</f>
        <v>0</v>
      </c>
      <c r="J10" s="25">
        <f>IF(AND(E10=TRUE, A10&lt;=Inputs!$C$20), MIN(L9*Inputs!$D$15/12, MAX(0, C10 - D10 - F10)), 0)</f>
        <v>0</v>
      </c>
      <c r="K10" s="25">
        <f>IF(H10=0, MIN(L9, MAX(0, C10 - D10 - F10 - J10 - N10 - G10)), 0)</f>
        <v>0</v>
      </c>
      <c r="L10" s="25">
        <f>MAX(0, L9 - K10)</f>
        <v>0</v>
      </c>
      <c r="M10" s="23">
        <f>IF(B10 &gt;= (H9+L9+P9)*Inputs!$C$29, TRUE, FALSE)</f>
        <v>0</v>
      </c>
      <c r="N10" s="26">
        <f>IF(AND(I10=TRUE, A10&lt;=Inputs!$C$20), MIN(P9*Inputs!$D$16/12, MAX(0, C10 - D10 - F10 - J10)), 0)</f>
        <v>0</v>
      </c>
      <c r="O10" s="26">
        <f>IF(AND(H10=0, L10=0), MIN(P9, MAX(0, C10 - D10 - F10 - J10 - N10 - G10 - K10)), 0)</f>
        <v>0</v>
      </c>
      <c r="P10" s="26">
        <f>MAX(0, P9 - O10)</f>
        <v>0</v>
      </c>
      <c r="Q10" s="16">
        <f>IF(AND(E10=TRUE, I10=TRUE, M10=TRUE, A10&lt;=Inputs!$C$20), R10, 0)</f>
        <v>0</v>
      </c>
      <c r="R10" s="16">
        <f>MAX(0, C10 - D10 - F10 - J10 - N10 - G10 - K10 - O10)</f>
        <v>0</v>
      </c>
      <c r="S10" s="27">
        <f>IF(ABS(D10+(F10+J10+N10)+(G10+K10+O10)+R10-C10)&lt;1, "OK", "ERR")</f>
        <v>0</v>
      </c>
      <c r="T10" s="28">
        <f>EDATE($T$2, A10)</f>
        <v>0</v>
      </c>
      <c r="U10" s="16">
        <f>F10+G10</f>
        <v>0</v>
      </c>
      <c r="V10" s="16">
        <f>J10+K10</f>
        <v>0</v>
      </c>
      <c r="W10" s="16">
        <f>N10+O10</f>
        <v>0</v>
      </c>
    </row>
    <row r="11" spans="1:23">
      <c r="A11">
        <v>9</v>
      </c>
      <c r="B11" s="16">
        <f>'Asset Side'!B10</f>
        <v>0</v>
      </c>
      <c r="C11" s="16">
        <f>'Asset Side'!J11+'Asset Side'!K11</f>
        <v>0</v>
      </c>
      <c r="D11" s="16">
        <f>MIN(C11, B10*Inputs!$C$21/12)</f>
        <v>0</v>
      </c>
      <c r="E11" s="23">
        <f>IF(AND(B11 &gt;= H10*Inputs!$C$27, Inputs!$C$31&lt;&gt;"Yes"), TRUE, FALSE)</f>
        <v>0</v>
      </c>
      <c r="F11" s="24">
        <f>MIN(H10*Inputs!$D$14/12, MAX(0, C11 - D11))</f>
        <v>0</v>
      </c>
      <c r="G11" s="24">
        <f>MIN(H10, MAX(0, C11 - D11 - F11 - J11 - N11))</f>
        <v>0</v>
      </c>
      <c r="H11" s="24">
        <f>MAX(0, H10 - G11)</f>
        <v>0</v>
      </c>
      <c r="I11" s="23">
        <f>IF(B11 &gt;= (H10+L10)*Inputs!$C$28, TRUE, FALSE)</f>
        <v>0</v>
      </c>
      <c r="J11" s="25">
        <f>IF(AND(E11=TRUE, A11&lt;=Inputs!$C$20), MIN(L10*Inputs!$D$15/12, MAX(0, C11 - D11 - F11)), 0)</f>
        <v>0</v>
      </c>
      <c r="K11" s="25">
        <f>IF(H11=0, MIN(L10, MAX(0, C11 - D11 - F11 - J11 - N11 - G11)), 0)</f>
        <v>0</v>
      </c>
      <c r="L11" s="25">
        <f>MAX(0, L10 - K11)</f>
        <v>0</v>
      </c>
      <c r="M11" s="23">
        <f>IF(B11 &gt;= (H10+L10+P10)*Inputs!$C$29, TRUE, FALSE)</f>
        <v>0</v>
      </c>
      <c r="N11" s="26">
        <f>IF(AND(I11=TRUE, A11&lt;=Inputs!$C$20), MIN(P10*Inputs!$D$16/12, MAX(0, C11 - D11 - F11 - J11)), 0)</f>
        <v>0</v>
      </c>
      <c r="O11" s="26">
        <f>IF(AND(H11=0, L11=0), MIN(P10, MAX(0, C11 - D11 - F11 - J11 - N11 - G11 - K11)), 0)</f>
        <v>0</v>
      </c>
      <c r="P11" s="26">
        <f>MAX(0, P10 - O11)</f>
        <v>0</v>
      </c>
      <c r="Q11" s="16">
        <f>IF(AND(E11=TRUE, I11=TRUE, M11=TRUE, A11&lt;=Inputs!$C$20), R11, 0)</f>
        <v>0</v>
      </c>
      <c r="R11" s="16">
        <f>MAX(0, C11 - D11 - F11 - J11 - N11 - G11 - K11 - O11)</f>
        <v>0</v>
      </c>
      <c r="S11" s="27">
        <f>IF(ABS(D11+(F11+J11+N11)+(G11+K11+O11)+R11-C11)&lt;1, "OK", "ERR")</f>
        <v>0</v>
      </c>
      <c r="T11" s="28">
        <f>EDATE($T$2, A11)</f>
        <v>0</v>
      </c>
      <c r="U11" s="16">
        <f>F11+G11</f>
        <v>0</v>
      </c>
      <c r="V11" s="16">
        <f>J11+K11</f>
        <v>0</v>
      </c>
      <c r="W11" s="16">
        <f>N11+O11</f>
        <v>0</v>
      </c>
    </row>
    <row r="12" spans="1:23">
      <c r="A12">
        <v>10</v>
      </c>
      <c r="B12" s="16">
        <f>'Asset Side'!B11</f>
        <v>0</v>
      </c>
      <c r="C12" s="16">
        <f>'Asset Side'!J12+'Asset Side'!K12</f>
        <v>0</v>
      </c>
      <c r="D12" s="16">
        <f>MIN(C12, B11*Inputs!$C$21/12)</f>
        <v>0</v>
      </c>
      <c r="E12" s="23">
        <f>IF(AND(B12 &gt;= H11*Inputs!$C$27, Inputs!$C$31&lt;&gt;"Yes"), TRUE, FALSE)</f>
        <v>0</v>
      </c>
      <c r="F12" s="24">
        <f>MIN(H11*Inputs!$D$14/12, MAX(0, C12 - D12))</f>
        <v>0</v>
      </c>
      <c r="G12" s="24">
        <f>MIN(H11, MAX(0, C12 - D12 - F12 - J12 - N12))</f>
        <v>0</v>
      </c>
      <c r="H12" s="24">
        <f>MAX(0, H11 - G12)</f>
        <v>0</v>
      </c>
      <c r="I12" s="23">
        <f>IF(B12 &gt;= (H11+L11)*Inputs!$C$28, TRUE, FALSE)</f>
        <v>0</v>
      </c>
      <c r="J12" s="25">
        <f>IF(AND(E12=TRUE, A12&lt;=Inputs!$C$20), MIN(L11*Inputs!$D$15/12, MAX(0, C12 - D12 - F12)), 0)</f>
        <v>0</v>
      </c>
      <c r="K12" s="25">
        <f>IF(H12=0, MIN(L11, MAX(0, C12 - D12 - F12 - J12 - N12 - G12)), 0)</f>
        <v>0</v>
      </c>
      <c r="L12" s="25">
        <f>MAX(0, L11 - K12)</f>
        <v>0</v>
      </c>
      <c r="M12" s="23">
        <f>IF(B12 &gt;= (H11+L11+P11)*Inputs!$C$29, TRUE, FALSE)</f>
        <v>0</v>
      </c>
      <c r="N12" s="26">
        <f>IF(AND(I12=TRUE, A12&lt;=Inputs!$C$20), MIN(P11*Inputs!$D$16/12, MAX(0, C12 - D12 - F12 - J12)), 0)</f>
        <v>0</v>
      </c>
      <c r="O12" s="26">
        <f>IF(AND(H12=0, L12=0), MIN(P11, MAX(0, C12 - D12 - F12 - J12 - N12 - G12 - K12)), 0)</f>
        <v>0</v>
      </c>
      <c r="P12" s="26">
        <f>MAX(0, P11 - O12)</f>
        <v>0</v>
      </c>
      <c r="Q12" s="16">
        <f>IF(AND(E12=TRUE, I12=TRUE, M12=TRUE, A12&lt;=Inputs!$C$20), R12, 0)</f>
        <v>0</v>
      </c>
      <c r="R12" s="16">
        <f>MAX(0, C12 - D12 - F12 - J12 - N12 - G12 - K12 - O12)</f>
        <v>0</v>
      </c>
      <c r="S12" s="27">
        <f>IF(ABS(D12+(F12+J12+N12)+(G12+K12+O12)+R12-C12)&lt;1, "OK", "ERR")</f>
        <v>0</v>
      </c>
      <c r="T12" s="28">
        <f>EDATE($T$2, A12)</f>
        <v>0</v>
      </c>
      <c r="U12" s="16">
        <f>F12+G12</f>
        <v>0</v>
      </c>
      <c r="V12" s="16">
        <f>J12+K12</f>
        <v>0</v>
      </c>
      <c r="W12" s="16">
        <f>N12+O12</f>
        <v>0</v>
      </c>
    </row>
    <row r="13" spans="1:23">
      <c r="A13">
        <v>11</v>
      </c>
      <c r="B13" s="16">
        <f>'Asset Side'!B12</f>
        <v>0</v>
      </c>
      <c r="C13" s="16">
        <f>'Asset Side'!J13+'Asset Side'!K13</f>
        <v>0</v>
      </c>
      <c r="D13" s="16">
        <f>MIN(C13, B12*Inputs!$C$21/12)</f>
        <v>0</v>
      </c>
      <c r="E13" s="23">
        <f>IF(AND(B13 &gt;= H12*Inputs!$C$27, Inputs!$C$31&lt;&gt;"Yes"), TRUE, FALSE)</f>
        <v>0</v>
      </c>
      <c r="F13" s="24">
        <f>MIN(H12*Inputs!$D$14/12, MAX(0, C13 - D13))</f>
        <v>0</v>
      </c>
      <c r="G13" s="24">
        <f>MIN(H12, MAX(0, C13 - D13 - F13 - J13 - N13))</f>
        <v>0</v>
      </c>
      <c r="H13" s="24">
        <f>MAX(0, H12 - G13)</f>
        <v>0</v>
      </c>
      <c r="I13" s="23">
        <f>IF(B13 &gt;= (H12+L12)*Inputs!$C$28, TRUE, FALSE)</f>
        <v>0</v>
      </c>
      <c r="J13" s="25">
        <f>IF(AND(E13=TRUE, A13&lt;=Inputs!$C$20), MIN(L12*Inputs!$D$15/12, MAX(0, C13 - D13 - F13)), 0)</f>
        <v>0</v>
      </c>
      <c r="K13" s="25">
        <f>IF(H13=0, MIN(L12, MAX(0, C13 - D13 - F13 - J13 - N13 - G13)), 0)</f>
        <v>0</v>
      </c>
      <c r="L13" s="25">
        <f>MAX(0, L12 - K13)</f>
        <v>0</v>
      </c>
      <c r="M13" s="23">
        <f>IF(B13 &gt;= (H12+L12+P12)*Inputs!$C$29, TRUE, FALSE)</f>
        <v>0</v>
      </c>
      <c r="N13" s="26">
        <f>IF(AND(I13=TRUE, A13&lt;=Inputs!$C$20), MIN(P12*Inputs!$D$16/12, MAX(0, C13 - D13 - F13 - J13)), 0)</f>
        <v>0</v>
      </c>
      <c r="O13" s="26">
        <f>IF(AND(H13=0, L13=0), MIN(P12, MAX(0, C13 - D13 - F13 - J13 - N13 - G13 - K13)), 0)</f>
        <v>0</v>
      </c>
      <c r="P13" s="26">
        <f>MAX(0, P12 - O13)</f>
        <v>0</v>
      </c>
      <c r="Q13" s="16">
        <f>IF(AND(E13=TRUE, I13=TRUE, M13=TRUE, A13&lt;=Inputs!$C$20), R13, 0)</f>
        <v>0</v>
      </c>
      <c r="R13" s="16">
        <f>MAX(0, C13 - D13 - F13 - J13 - N13 - G13 - K13 - O13)</f>
        <v>0</v>
      </c>
      <c r="S13" s="27">
        <f>IF(ABS(D13+(F13+J13+N13)+(G13+K13+O13)+R13-C13)&lt;1, "OK", "ERR")</f>
        <v>0</v>
      </c>
      <c r="T13" s="28">
        <f>EDATE($T$2, A13)</f>
        <v>0</v>
      </c>
      <c r="U13" s="16">
        <f>F13+G13</f>
        <v>0</v>
      </c>
      <c r="V13" s="16">
        <f>J13+K13</f>
        <v>0</v>
      </c>
      <c r="W13" s="16">
        <f>N13+O13</f>
        <v>0</v>
      </c>
    </row>
    <row r="14" spans="1:23">
      <c r="A14">
        <v>12</v>
      </c>
      <c r="B14" s="16">
        <f>'Asset Side'!B13</f>
        <v>0</v>
      </c>
      <c r="C14" s="16">
        <f>'Asset Side'!J14+'Asset Side'!K14</f>
        <v>0</v>
      </c>
      <c r="D14" s="16">
        <f>MIN(C14, B13*Inputs!$C$21/12)</f>
        <v>0</v>
      </c>
      <c r="E14" s="23">
        <f>IF(AND(B14 &gt;= H13*Inputs!$C$27, Inputs!$C$31&lt;&gt;"Yes"), TRUE, FALSE)</f>
        <v>0</v>
      </c>
      <c r="F14" s="24">
        <f>MIN(H13*Inputs!$D$14/12, MAX(0, C14 - D14))</f>
        <v>0</v>
      </c>
      <c r="G14" s="24">
        <f>MIN(H13, MAX(0, C14 - D14 - F14 - J14 - N14))</f>
        <v>0</v>
      </c>
      <c r="H14" s="24">
        <f>MAX(0, H13 - G14)</f>
        <v>0</v>
      </c>
      <c r="I14" s="23">
        <f>IF(B14 &gt;= (H13+L13)*Inputs!$C$28, TRUE, FALSE)</f>
        <v>0</v>
      </c>
      <c r="J14" s="25">
        <f>IF(AND(E14=TRUE, A14&lt;=Inputs!$C$20), MIN(L13*Inputs!$D$15/12, MAX(0, C14 - D14 - F14)), 0)</f>
        <v>0</v>
      </c>
      <c r="K14" s="25">
        <f>IF(H14=0, MIN(L13, MAX(0, C14 - D14 - F14 - J14 - N14 - G14)), 0)</f>
        <v>0</v>
      </c>
      <c r="L14" s="25">
        <f>MAX(0, L13 - K14)</f>
        <v>0</v>
      </c>
      <c r="M14" s="23">
        <f>IF(B14 &gt;= (H13+L13+P13)*Inputs!$C$29, TRUE, FALSE)</f>
        <v>0</v>
      </c>
      <c r="N14" s="26">
        <f>IF(AND(I14=TRUE, A14&lt;=Inputs!$C$20), MIN(P13*Inputs!$D$16/12, MAX(0, C14 - D14 - F14 - J14)), 0)</f>
        <v>0</v>
      </c>
      <c r="O14" s="26">
        <f>IF(AND(H14=0, L14=0), MIN(P13, MAX(0, C14 - D14 - F14 - J14 - N14 - G14 - K14)), 0)</f>
        <v>0</v>
      </c>
      <c r="P14" s="26">
        <f>MAX(0, P13 - O14)</f>
        <v>0</v>
      </c>
      <c r="Q14" s="16">
        <f>IF(AND(E14=TRUE, I14=TRUE, M14=TRUE, A14&lt;=Inputs!$C$20), R14, 0)</f>
        <v>0</v>
      </c>
      <c r="R14" s="16">
        <f>MAX(0, C14 - D14 - F14 - J14 - N14 - G14 - K14 - O14)</f>
        <v>0</v>
      </c>
      <c r="S14" s="27">
        <f>IF(ABS(D14+(F14+J14+N14)+(G14+K14+O14)+R14-C14)&lt;1, "OK", "ERR")</f>
        <v>0</v>
      </c>
      <c r="T14" s="28">
        <f>EDATE($T$2, A14)</f>
        <v>0</v>
      </c>
      <c r="U14" s="16">
        <f>F14+G14</f>
        <v>0</v>
      </c>
      <c r="V14" s="16">
        <f>J14+K14</f>
        <v>0</v>
      </c>
      <c r="W14" s="16">
        <f>N14+O14</f>
        <v>0</v>
      </c>
    </row>
    <row r="15" spans="1:23">
      <c r="A15">
        <v>13</v>
      </c>
      <c r="B15" s="16">
        <f>'Asset Side'!B14</f>
        <v>0</v>
      </c>
      <c r="C15" s="16">
        <f>'Asset Side'!J15+'Asset Side'!K15</f>
        <v>0</v>
      </c>
      <c r="D15" s="16">
        <f>MIN(C15, B14*Inputs!$C$21/12)</f>
        <v>0</v>
      </c>
      <c r="E15" s="23">
        <f>IF(AND(B15 &gt;= H14*Inputs!$C$27, Inputs!$C$31&lt;&gt;"Yes"), TRUE, FALSE)</f>
        <v>0</v>
      </c>
      <c r="F15" s="24">
        <f>MIN(H14*Inputs!$D$14/12, MAX(0, C15 - D15))</f>
        <v>0</v>
      </c>
      <c r="G15" s="24">
        <f>MIN(H14, MAX(0, C15 - D15 - F15 - J15 - N15))</f>
        <v>0</v>
      </c>
      <c r="H15" s="24">
        <f>MAX(0, H14 - G15)</f>
        <v>0</v>
      </c>
      <c r="I15" s="23">
        <f>IF(B15 &gt;= (H14+L14)*Inputs!$C$28, TRUE, FALSE)</f>
        <v>0</v>
      </c>
      <c r="J15" s="25">
        <f>IF(AND(E15=TRUE, A15&lt;=Inputs!$C$20), MIN(L14*Inputs!$D$15/12, MAX(0, C15 - D15 - F15)), 0)</f>
        <v>0</v>
      </c>
      <c r="K15" s="25">
        <f>IF(H15=0, MIN(L14, MAX(0, C15 - D15 - F15 - J15 - N15 - G15)), 0)</f>
        <v>0</v>
      </c>
      <c r="L15" s="25">
        <f>MAX(0, L14 - K15)</f>
        <v>0</v>
      </c>
      <c r="M15" s="23">
        <f>IF(B15 &gt;= (H14+L14+P14)*Inputs!$C$29, TRUE, FALSE)</f>
        <v>0</v>
      </c>
      <c r="N15" s="26">
        <f>IF(AND(I15=TRUE, A15&lt;=Inputs!$C$20), MIN(P14*Inputs!$D$16/12, MAX(0, C15 - D15 - F15 - J15)), 0)</f>
        <v>0</v>
      </c>
      <c r="O15" s="26">
        <f>IF(AND(H15=0, L15=0), MIN(P14, MAX(0, C15 - D15 - F15 - J15 - N15 - G15 - K15)), 0)</f>
        <v>0</v>
      </c>
      <c r="P15" s="26">
        <f>MAX(0, P14 - O15)</f>
        <v>0</v>
      </c>
      <c r="Q15" s="16">
        <f>IF(AND(E15=TRUE, I15=TRUE, M15=TRUE, A15&lt;=Inputs!$C$20), R15, 0)</f>
        <v>0</v>
      </c>
      <c r="R15" s="16">
        <f>MAX(0, C15 - D15 - F15 - J15 - N15 - G15 - K15 - O15)</f>
        <v>0</v>
      </c>
      <c r="S15" s="27">
        <f>IF(ABS(D15+(F15+J15+N15)+(G15+K15+O15)+R15-C15)&lt;1, "OK", "ERR")</f>
        <v>0</v>
      </c>
      <c r="T15" s="28">
        <f>EDATE($T$2, A15)</f>
        <v>0</v>
      </c>
      <c r="U15" s="16">
        <f>F15+G15</f>
        <v>0</v>
      </c>
      <c r="V15" s="16">
        <f>J15+K15</f>
        <v>0</v>
      </c>
      <c r="W15" s="16">
        <f>N15+O15</f>
        <v>0</v>
      </c>
    </row>
    <row r="16" spans="1:23">
      <c r="A16">
        <v>14</v>
      </c>
      <c r="B16" s="16">
        <f>'Asset Side'!B15</f>
        <v>0</v>
      </c>
      <c r="C16" s="16">
        <f>'Asset Side'!J16+'Asset Side'!K16</f>
        <v>0</v>
      </c>
      <c r="D16" s="16">
        <f>MIN(C16, B15*Inputs!$C$21/12)</f>
        <v>0</v>
      </c>
      <c r="E16" s="23">
        <f>IF(AND(B16 &gt;= H15*Inputs!$C$27, Inputs!$C$31&lt;&gt;"Yes"), TRUE, FALSE)</f>
        <v>0</v>
      </c>
      <c r="F16" s="24">
        <f>MIN(H15*Inputs!$D$14/12, MAX(0, C16 - D16))</f>
        <v>0</v>
      </c>
      <c r="G16" s="24">
        <f>MIN(H15, MAX(0, C16 - D16 - F16 - J16 - N16))</f>
        <v>0</v>
      </c>
      <c r="H16" s="24">
        <f>MAX(0, H15 - G16)</f>
        <v>0</v>
      </c>
      <c r="I16" s="23">
        <f>IF(B16 &gt;= (H15+L15)*Inputs!$C$28, TRUE, FALSE)</f>
        <v>0</v>
      </c>
      <c r="J16" s="25">
        <f>IF(AND(E16=TRUE, A16&lt;=Inputs!$C$20), MIN(L15*Inputs!$D$15/12, MAX(0, C16 - D16 - F16)), 0)</f>
        <v>0</v>
      </c>
      <c r="K16" s="25">
        <f>IF(H16=0, MIN(L15, MAX(0, C16 - D16 - F16 - J16 - N16 - G16)), 0)</f>
        <v>0</v>
      </c>
      <c r="L16" s="25">
        <f>MAX(0, L15 - K16)</f>
        <v>0</v>
      </c>
      <c r="M16" s="23">
        <f>IF(B16 &gt;= (H15+L15+P15)*Inputs!$C$29, TRUE, FALSE)</f>
        <v>0</v>
      </c>
      <c r="N16" s="26">
        <f>IF(AND(I16=TRUE, A16&lt;=Inputs!$C$20), MIN(P15*Inputs!$D$16/12, MAX(0, C16 - D16 - F16 - J16)), 0)</f>
        <v>0</v>
      </c>
      <c r="O16" s="26">
        <f>IF(AND(H16=0, L16=0), MIN(P15, MAX(0, C16 - D16 - F16 - J16 - N16 - G16 - K16)), 0)</f>
        <v>0</v>
      </c>
      <c r="P16" s="26">
        <f>MAX(0, P15 - O16)</f>
        <v>0</v>
      </c>
      <c r="Q16" s="16">
        <f>IF(AND(E16=TRUE, I16=TRUE, M16=TRUE, A16&lt;=Inputs!$C$20), R16, 0)</f>
        <v>0</v>
      </c>
      <c r="R16" s="16">
        <f>MAX(0, C16 - D16 - F16 - J16 - N16 - G16 - K16 - O16)</f>
        <v>0</v>
      </c>
      <c r="S16" s="27">
        <f>IF(ABS(D16+(F16+J16+N16)+(G16+K16+O16)+R16-C16)&lt;1, "OK", "ERR")</f>
        <v>0</v>
      </c>
      <c r="T16" s="28">
        <f>EDATE($T$2, A16)</f>
        <v>0</v>
      </c>
      <c r="U16" s="16">
        <f>F16+G16</f>
        <v>0</v>
      </c>
      <c r="V16" s="16">
        <f>J16+K16</f>
        <v>0</v>
      </c>
      <c r="W16" s="16">
        <f>N16+O16</f>
        <v>0</v>
      </c>
    </row>
    <row r="17" spans="1:23">
      <c r="A17">
        <v>15</v>
      </c>
      <c r="B17" s="16">
        <f>'Asset Side'!B16</f>
        <v>0</v>
      </c>
      <c r="C17" s="16">
        <f>'Asset Side'!J17+'Asset Side'!K17</f>
        <v>0</v>
      </c>
      <c r="D17" s="16">
        <f>MIN(C17, B16*Inputs!$C$21/12)</f>
        <v>0</v>
      </c>
      <c r="E17" s="23">
        <f>IF(AND(B17 &gt;= H16*Inputs!$C$27, Inputs!$C$31&lt;&gt;"Yes"), TRUE, FALSE)</f>
        <v>0</v>
      </c>
      <c r="F17" s="24">
        <f>MIN(H16*Inputs!$D$14/12, MAX(0, C17 - D17))</f>
        <v>0</v>
      </c>
      <c r="G17" s="24">
        <f>MIN(H16, MAX(0, C17 - D17 - F17 - J17 - N17))</f>
        <v>0</v>
      </c>
      <c r="H17" s="24">
        <f>MAX(0, H16 - G17)</f>
        <v>0</v>
      </c>
      <c r="I17" s="23">
        <f>IF(B17 &gt;= (H16+L16)*Inputs!$C$28, TRUE, FALSE)</f>
        <v>0</v>
      </c>
      <c r="J17" s="25">
        <f>IF(AND(E17=TRUE, A17&lt;=Inputs!$C$20), MIN(L16*Inputs!$D$15/12, MAX(0, C17 - D17 - F17)), 0)</f>
        <v>0</v>
      </c>
      <c r="K17" s="25">
        <f>IF(H17=0, MIN(L16, MAX(0, C17 - D17 - F17 - J17 - N17 - G17)), 0)</f>
        <v>0</v>
      </c>
      <c r="L17" s="25">
        <f>MAX(0, L16 - K17)</f>
        <v>0</v>
      </c>
      <c r="M17" s="23">
        <f>IF(B17 &gt;= (H16+L16+P16)*Inputs!$C$29, TRUE, FALSE)</f>
        <v>0</v>
      </c>
      <c r="N17" s="26">
        <f>IF(AND(I17=TRUE, A17&lt;=Inputs!$C$20), MIN(P16*Inputs!$D$16/12, MAX(0, C17 - D17 - F17 - J17)), 0)</f>
        <v>0</v>
      </c>
      <c r="O17" s="26">
        <f>IF(AND(H17=0, L17=0), MIN(P16, MAX(0, C17 - D17 - F17 - J17 - N17 - G17 - K17)), 0)</f>
        <v>0</v>
      </c>
      <c r="P17" s="26">
        <f>MAX(0, P16 - O17)</f>
        <v>0</v>
      </c>
      <c r="Q17" s="16">
        <f>IF(AND(E17=TRUE, I17=TRUE, M17=TRUE, A17&lt;=Inputs!$C$20), R17, 0)</f>
        <v>0</v>
      </c>
      <c r="R17" s="16">
        <f>MAX(0, C17 - D17 - F17 - J17 - N17 - G17 - K17 - O17)</f>
        <v>0</v>
      </c>
      <c r="S17" s="27">
        <f>IF(ABS(D17+(F17+J17+N17)+(G17+K17+O17)+R17-C17)&lt;1, "OK", "ERR")</f>
        <v>0</v>
      </c>
      <c r="T17" s="28">
        <f>EDATE($T$2, A17)</f>
        <v>0</v>
      </c>
      <c r="U17" s="16">
        <f>F17+G17</f>
        <v>0</v>
      </c>
      <c r="V17" s="16">
        <f>J17+K17</f>
        <v>0</v>
      </c>
      <c r="W17" s="16">
        <f>N17+O17</f>
        <v>0</v>
      </c>
    </row>
    <row r="18" spans="1:23">
      <c r="A18">
        <v>16</v>
      </c>
      <c r="B18" s="16">
        <f>'Asset Side'!B17</f>
        <v>0</v>
      </c>
      <c r="C18" s="16">
        <f>'Asset Side'!J18+'Asset Side'!K18</f>
        <v>0</v>
      </c>
      <c r="D18" s="16">
        <f>MIN(C18, B17*Inputs!$C$21/12)</f>
        <v>0</v>
      </c>
      <c r="E18" s="23">
        <f>IF(AND(B18 &gt;= H17*Inputs!$C$27, Inputs!$C$31&lt;&gt;"Yes"), TRUE, FALSE)</f>
        <v>0</v>
      </c>
      <c r="F18" s="24">
        <f>MIN(H17*Inputs!$D$14/12, MAX(0, C18 - D18))</f>
        <v>0</v>
      </c>
      <c r="G18" s="24">
        <f>MIN(H17, MAX(0, C18 - D18 - F18 - J18 - N18))</f>
        <v>0</v>
      </c>
      <c r="H18" s="24">
        <f>MAX(0, H17 - G18)</f>
        <v>0</v>
      </c>
      <c r="I18" s="23">
        <f>IF(B18 &gt;= (H17+L17)*Inputs!$C$28, TRUE, FALSE)</f>
        <v>0</v>
      </c>
      <c r="J18" s="25">
        <f>IF(AND(E18=TRUE, A18&lt;=Inputs!$C$20), MIN(L17*Inputs!$D$15/12, MAX(0, C18 - D18 - F18)), 0)</f>
        <v>0</v>
      </c>
      <c r="K18" s="25">
        <f>IF(H18=0, MIN(L17, MAX(0, C18 - D18 - F18 - J18 - N18 - G18)), 0)</f>
        <v>0</v>
      </c>
      <c r="L18" s="25">
        <f>MAX(0, L17 - K18)</f>
        <v>0</v>
      </c>
      <c r="M18" s="23">
        <f>IF(B18 &gt;= (H17+L17+P17)*Inputs!$C$29, TRUE, FALSE)</f>
        <v>0</v>
      </c>
      <c r="N18" s="26">
        <f>IF(AND(I18=TRUE, A18&lt;=Inputs!$C$20), MIN(P17*Inputs!$D$16/12, MAX(0, C18 - D18 - F18 - J18)), 0)</f>
        <v>0</v>
      </c>
      <c r="O18" s="26">
        <f>IF(AND(H18=0, L18=0), MIN(P17, MAX(0, C18 - D18 - F18 - J18 - N18 - G18 - K18)), 0)</f>
        <v>0</v>
      </c>
      <c r="P18" s="26">
        <f>MAX(0, P17 - O18)</f>
        <v>0</v>
      </c>
      <c r="Q18" s="16">
        <f>IF(AND(E18=TRUE, I18=TRUE, M18=TRUE, A18&lt;=Inputs!$C$20), R18, 0)</f>
        <v>0</v>
      </c>
      <c r="R18" s="16">
        <f>MAX(0, C18 - D18 - F18 - J18 - N18 - G18 - K18 - O18)</f>
        <v>0</v>
      </c>
      <c r="S18" s="27">
        <f>IF(ABS(D18+(F18+J18+N18)+(G18+K18+O18)+R18-C18)&lt;1, "OK", "ERR")</f>
        <v>0</v>
      </c>
      <c r="T18" s="28">
        <f>EDATE($T$2, A18)</f>
        <v>0</v>
      </c>
      <c r="U18" s="16">
        <f>F18+G18</f>
        <v>0</v>
      </c>
      <c r="V18" s="16">
        <f>J18+K18</f>
        <v>0</v>
      </c>
      <c r="W18" s="16">
        <f>N18+O18</f>
        <v>0</v>
      </c>
    </row>
    <row r="19" spans="1:23">
      <c r="A19">
        <v>17</v>
      </c>
      <c r="B19" s="16">
        <f>'Asset Side'!B18</f>
        <v>0</v>
      </c>
      <c r="C19" s="16">
        <f>'Asset Side'!J19+'Asset Side'!K19</f>
        <v>0</v>
      </c>
      <c r="D19" s="16">
        <f>MIN(C19, B18*Inputs!$C$21/12)</f>
        <v>0</v>
      </c>
      <c r="E19" s="23">
        <f>IF(AND(B19 &gt;= H18*Inputs!$C$27, Inputs!$C$31&lt;&gt;"Yes"), TRUE, FALSE)</f>
        <v>0</v>
      </c>
      <c r="F19" s="24">
        <f>MIN(H18*Inputs!$D$14/12, MAX(0, C19 - D19))</f>
        <v>0</v>
      </c>
      <c r="G19" s="24">
        <f>MIN(H18, MAX(0, C19 - D19 - F19 - J19 - N19))</f>
        <v>0</v>
      </c>
      <c r="H19" s="24">
        <f>MAX(0, H18 - G19)</f>
        <v>0</v>
      </c>
      <c r="I19" s="23">
        <f>IF(B19 &gt;= (H18+L18)*Inputs!$C$28, TRUE, FALSE)</f>
        <v>0</v>
      </c>
      <c r="J19" s="25">
        <f>IF(AND(E19=TRUE, A19&lt;=Inputs!$C$20), MIN(L18*Inputs!$D$15/12, MAX(0, C19 - D19 - F19)), 0)</f>
        <v>0</v>
      </c>
      <c r="K19" s="25">
        <f>IF(H19=0, MIN(L18, MAX(0, C19 - D19 - F19 - J19 - N19 - G19)), 0)</f>
        <v>0</v>
      </c>
      <c r="L19" s="25">
        <f>MAX(0, L18 - K19)</f>
        <v>0</v>
      </c>
      <c r="M19" s="23">
        <f>IF(B19 &gt;= (H18+L18+P18)*Inputs!$C$29, TRUE, FALSE)</f>
        <v>0</v>
      </c>
      <c r="N19" s="26">
        <f>IF(AND(I19=TRUE, A19&lt;=Inputs!$C$20), MIN(P18*Inputs!$D$16/12, MAX(0, C19 - D19 - F19 - J19)), 0)</f>
        <v>0</v>
      </c>
      <c r="O19" s="26">
        <f>IF(AND(H19=0, L19=0), MIN(P18, MAX(0, C19 - D19 - F19 - J19 - N19 - G19 - K19)), 0)</f>
        <v>0</v>
      </c>
      <c r="P19" s="26">
        <f>MAX(0, P18 - O19)</f>
        <v>0</v>
      </c>
      <c r="Q19" s="16">
        <f>IF(AND(E19=TRUE, I19=TRUE, M19=TRUE, A19&lt;=Inputs!$C$20), R19, 0)</f>
        <v>0</v>
      </c>
      <c r="R19" s="16">
        <f>MAX(0, C19 - D19 - F19 - J19 - N19 - G19 - K19 - O19)</f>
        <v>0</v>
      </c>
      <c r="S19" s="27">
        <f>IF(ABS(D19+(F19+J19+N19)+(G19+K19+O19)+R19-C19)&lt;1, "OK", "ERR")</f>
        <v>0</v>
      </c>
      <c r="T19" s="28">
        <f>EDATE($T$2, A19)</f>
        <v>0</v>
      </c>
      <c r="U19" s="16">
        <f>F19+G19</f>
        <v>0</v>
      </c>
      <c r="V19" s="16">
        <f>J19+K19</f>
        <v>0</v>
      </c>
      <c r="W19" s="16">
        <f>N19+O19</f>
        <v>0</v>
      </c>
    </row>
    <row r="20" spans="1:23">
      <c r="A20">
        <v>18</v>
      </c>
      <c r="B20" s="16">
        <f>'Asset Side'!B19</f>
        <v>0</v>
      </c>
      <c r="C20" s="16">
        <f>'Asset Side'!J20+'Asset Side'!K20</f>
        <v>0</v>
      </c>
      <c r="D20" s="16">
        <f>MIN(C20, B19*Inputs!$C$21/12)</f>
        <v>0</v>
      </c>
      <c r="E20" s="23">
        <f>IF(AND(B20 &gt;= H19*Inputs!$C$27, Inputs!$C$31&lt;&gt;"Yes"), TRUE, FALSE)</f>
        <v>0</v>
      </c>
      <c r="F20" s="24">
        <f>MIN(H19*Inputs!$D$14/12, MAX(0, C20 - D20))</f>
        <v>0</v>
      </c>
      <c r="G20" s="24">
        <f>MIN(H19, MAX(0, C20 - D20 - F20 - J20 - N20))</f>
        <v>0</v>
      </c>
      <c r="H20" s="24">
        <f>MAX(0, H19 - G20)</f>
        <v>0</v>
      </c>
      <c r="I20" s="23">
        <f>IF(B20 &gt;= (H19+L19)*Inputs!$C$28, TRUE, FALSE)</f>
        <v>0</v>
      </c>
      <c r="J20" s="25">
        <f>IF(AND(E20=TRUE, A20&lt;=Inputs!$C$20), MIN(L19*Inputs!$D$15/12, MAX(0, C20 - D20 - F20)), 0)</f>
        <v>0</v>
      </c>
      <c r="K20" s="25">
        <f>IF(H20=0, MIN(L19, MAX(0, C20 - D20 - F20 - J20 - N20 - G20)), 0)</f>
        <v>0</v>
      </c>
      <c r="L20" s="25">
        <f>MAX(0, L19 - K20)</f>
        <v>0</v>
      </c>
      <c r="M20" s="23">
        <f>IF(B20 &gt;= (H19+L19+P19)*Inputs!$C$29, TRUE, FALSE)</f>
        <v>0</v>
      </c>
      <c r="N20" s="26">
        <f>IF(AND(I20=TRUE, A20&lt;=Inputs!$C$20), MIN(P19*Inputs!$D$16/12, MAX(0, C20 - D20 - F20 - J20)), 0)</f>
        <v>0</v>
      </c>
      <c r="O20" s="26">
        <f>IF(AND(H20=0, L20=0), MIN(P19, MAX(0, C20 - D20 - F20 - J20 - N20 - G20 - K20)), 0)</f>
        <v>0</v>
      </c>
      <c r="P20" s="26">
        <f>MAX(0, P19 - O20)</f>
        <v>0</v>
      </c>
      <c r="Q20" s="16">
        <f>IF(AND(E20=TRUE, I20=TRUE, M20=TRUE, A20&lt;=Inputs!$C$20), R20, 0)</f>
        <v>0</v>
      </c>
      <c r="R20" s="16">
        <f>MAX(0, C20 - D20 - F20 - J20 - N20 - G20 - K20 - O20)</f>
        <v>0</v>
      </c>
      <c r="S20" s="27">
        <f>IF(ABS(D20+(F20+J20+N20)+(G20+K20+O20)+R20-C20)&lt;1, "OK", "ERR")</f>
        <v>0</v>
      </c>
      <c r="T20" s="28">
        <f>EDATE($T$2, A20)</f>
        <v>0</v>
      </c>
      <c r="U20" s="16">
        <f>F20+G20</f>
        <v>0</v>
      </c>
      <c r="V20" s="16">
        <f>J20+K20</f>
        <v>0</v>
      </c>
      <c r="W20" s="16">
        <f>N20+O20</f>
        <v>0</v>
      </c>
    </row>
    <row r="21" spans="1:23">
      <c r="A21">
        <v>19</v>
      </c>
      <c r="B21" s="16">
        <f>'Asset Side'!B20</f>
        <v>0</v>
      </c>
      <c r="C21" s="16">
        <f>'Asset Side'!J21+'Asset Side'!K21</f>
        <v>0</v>
      </c>
      <c r="D21" s="16">
        <f>MIN(C21, B20*Inputs!$C$21/12)</f>
        <v>0</v>
      </c>
      <c r="E21" s="23">
        <f>IF(AND(B21 &gt;= H20*Inputs!$C$27, Inputs!$C$31&lt;&gt;"Yes"), TRUE, FALSE)</f>
        <v>0</v>
      </c>
      <c r="F21" s="24">
        <f>MIN(H20*Inputs!$D$14/12, MAX(0, C21 - D21))</f>
        <v>0</v>
      </c>
      <c r="G21" s="24">
        <f>MIN(H20, MAX(0, C21 - D21 - F21 - J21 - N21))</f>
        <v>0</v>
      </c>
      <c r="H21" s="24">
        <f>MAX(0, H20 - G21)</f>
        <v>0</v>
      </c>
      <c r="I21" s="23">
        <f>IF(B21 &gt;= (H20+L20)*Inputs!$C$28, TRUE, FALSE)</f>
        <v>0</v>
      </c>
      <c r="J21" s="25">
        <f>IF(AND(E21=TRUE, A21&lt;=Inputs!$C$20), MIN(L20*Inputs!$D$15/12, MAX(0, C21 - D21 - F21)), 0)</f>
        <v>0</v>
      </c>
      <c r="K21" s="25">
        <f>IF(H21=0, MIN(L20, MAX(0, C21 - D21 - F21 - J21 - N21 - G21)), 0)</f>
        <v>0</v>
      </c>
      <c r="L21" s="25">
        <f>MAX(0, L20 - K21)</f>
        <v>0</v>
      </c>
      <c r="M21" s="23">
        <f>IF(B21 &gt;= (H20+L20+P20)*Inputs!$C$29, TRUE, FALSE)</f>
        <v>0</v>
      </c>
      <c r="N21" s="26">
        <f>IF(AND(I21=TRUE, A21&lt;=Inputs!$C$20), MIN(P20*Inputs!$D$16/12, MAX(0, C21 - D21 - F21 - J21)), 0)</f>
        <v>0</v>
      </c>
      <c r="O21" s="26">
        <f>IF(AND(H21=0, L21=0), MIN(P20, MAX(0, C21 - D21 - F21 - J21 - N21 - G21 - K21)), 0)</f>
        <v>0</v>
      </c>
      <c r="P21" s="26">
        <f>MAX(0, P20 - O21)</f>
        <v>0</v>
      </c>
      <c r="Q21" s="16">
        <f>IF(AND(E21=TRUE, I21=TRUE, M21=TRUE, A21&lt;=Inputs!$C$20), R21, 0)</f>
        <v>0</v>
      </c>
      <c r="R21" s="16">
        <f>MAX(0, C21 - D21 - F21 - J21 - N21 - G21 - K21 - O21)</f>
        <v>0</v>
      </c>
      <c r="S21" s="27">
        <f>IF(ABS(D21+(F21+J21+N21)+(G21+K21+O21)+R21-C21)&lt;1, "OK", "ERR")</f>
        <v>0</v>
      </c>
      <c r="T21" s="28">
        <f>EDATE($T$2, A21)</f>
        <v>0</v>
      </c>
      <c r="U21" s="16">
        <f>F21+G21</f>
        <v>0</v>
      </c>
      <c r="V21" s="16">
        <f>J21+K21</f>
        <v>0</v>
      </c>
      <c r="W21" s="16">
        <f>N21+O21</f>
        <v>0</v>
      </c>
    </row>
    <row r="22" spans="1:23">
      <c r="A22">
        <v>20</v>
      </c>
      <c r="B22" s="16">
        <f>'Asset Side'!B21</f>
        <v>0</v>
      </c>
      <c r="C22" s="16">
        <f>'Asset Side'!J22+'Asset Side'!K22</f>
        <v>0</v>
      </c>
      <c r="D22" s="16">
        <f>MIN(C22, B21*Inputs!$C$21/12)</f>
        <v>0</v>
      </c>
      <c r="E22" s="23">
        <f>IF(AND(B22 &gt;= H21*Inputs!$C$27, Inputs!$C$31&lt;&gt;"Yes"), TRUE, FALSE)</f>
        <v>0</v>
      </c>
      <c r="F22" s="24">
        <f>MIN(H21*Inputs!$D$14/12, MAX(0, C22 - D22))</f>
        <v>0</v>
      </c>
      <c r="G22" s="24">
        <f>MIN(H21, MAX(0, C22 - D22 - F22 - J22 - N22))</f>
        <v>0</v>
      </c>
      <c r="H22" s="24">
        <f>MAX(0, H21 - G22)</f>
        <v>0</v>
      </c>
      <c r="I22" s="23">
        <f>IF(B22 &gt;= (H21+L21)*Inputs!$C$28, TRUE, FALSE)</f>
        <v>0</v>
      </c>
      <c r="J22" s="25">
        <f>IF(AND(E22=TRUE, A22&lt;=Inputs!$C$20), MIN(L21*Inputs!$D$15/12, MAX(0, C22 - D22 - F22)), 0)</f>
        <v>0</v>
      </c>
      <c r="K22" s="25">
        <f>IF(H22=0, MIN(L21, MAX(0, C22 - D22 - F22 - J22 - N22 - G22)), 0)</f>
        <v>0</v>
      </c>
      <c r="L22" s="25">
        <f>MAX(0, L21 - K22)</f>
        <v>0</v>
      </c>
      <c r="M22" s="23">
        <f>IF(B22 &gt;= (H21+L21+P21)*Inputs!$C$29, TRUE, FALSE)</f>
        <v>0</v>
      </c>
      <c r="N22" s="26">
        <f>IF(AND(I22=TRUE, A22&lt;=Inputs!$C$20), MIN(P21*Inputs!$D$16/12, MAX(0, C22 - D22 - F22 - J22)), 0)</f>
        <v>0</v>
      </c>
      <c r="O22" s="26">
        <f>IF(AND(H22=0, L22=0), MIN(P21, MAX(0, C22 - D22 - F22 - J22 - N22 - G22 - K22)), 0)</f>
        <v>0</v>
      </c>
      <c r="P22" s="26">
        <f>MAX(0, P21 - O22)</f>
        <v>0</v>
      </c>
      <c r="Q22" s="16">
        <f>IF(AND(E22=TRUE, I22=TRUE, M22=TRUE, A22&lt;=Inputs!$C$20), R22, 0)</f>
        <v>0</v>
      </c>
      <c r="R22" s="16">
        <f>MAX(0, C22 - D22 - F22 - J22 - N22 - G22 - K22 - O22)</f>
        <v>0</v>
      </c>
      <c r="S22" s="27">
        <f>IF(ABS(D22+(F22+J22+N22)+(G22+K22+O22)+R22-C22)&lt;1, "OK", "ERR")</f>
        <v>0</v>
      </c>
      <c r="T22" s="28">
        <f>EDATE($T$2, A22)</f>
        <v>0</v>
      </c>
      <c r="U22" s="16">
        <f>F22+G22</f>
        <v>0</v>
      </c>
      <c r="V22" s="16">
        <f>J22+K22</f>
        <v>0</v>
      </c>
      <c r="W22" s="16">
        <f>N22+O22</f>
        <v>0</v>
      </c>
    </row>
    <row r="23" spans="1:23">
      <c r="A23">
        <v>21</v>
      </c>
      <c r="B23" s="16">
        <f>'Asset Side'!B22</f>
        <v>0</v>
      </c>
      <c r="C23" s="16">
        <f>'Asset Side'!J23+'Asset Side'!K23</f>
        <v>0</v>
      </c>
      <c r="D23" s="16">
        <f>MIN(C23, B22*Inputs!$C$21/12)</f>
        <v>0</v>
      </c>
      <c r="E23" s="23">
        <f>IF(AND(B23 &gt;= H22*Inputs!$C$27, Inputs!$C$31&lt;&gt;"Yes"), TRUE, FALSE)</f>
        <v>0</v>
      </c>
      <c r="F23" s="24">
        <f>MIN(H22*Inputs!$D$14/12, MAX(0, C23 - D23))</f>
        <v>0</v>
      </c>
      <c r="G23" s="24">
        <f>MIN(H22, MAX(0, C23 - D23 - F23 - J23 - N23))</f>
        <v>0</v>
      </c>
      <c r="H23" s="24">
        <f>MAX(0, H22 - G23)</f>
        <v>0</v>
      </c>
      <c r="I23" s="23">
        <f>IF(B23 &gt;= (H22+L22)*Inputs!$C$28, TRUE, FALSE)</f>
        <v>0</v>
      </c>
      <c r="J23" s="25">
        <f>IF(AND(E23=TRUE, A23&lt;=Inputs!$C$20), MIN(L22*Inputs!$D$15/12, MAX(0, C23 - D23 - F23)), 0)</f>
        <v>0</v>
      </c>
      <c r="K23" s="25">
        <f>IF(H23=0, MIN(L22, MAX(0, C23 - D23 - F23 - J23 - N23 - G23)), 0)</f>
        <v>0</v>
      </c>
      <c r="L23" s="25">
        <f>MAX(0, L22 - K23)</f>
        <v>0</v>
      </c>
      <c r="M23" s="23">
        <f>IF(B23 &gt;= (H22+L22+P22)*Inputs!$C$29, TRUE, FALSE)</f>
        <v>0</v>
      </c>
      <c r="N23" s="26">
        <f>IF(AND(I23=TRUE, A23&lt;=Inputs!$C$20), MIN(P22*Inputs!$D$16/12, MAX(0, C23 - D23 - F23 - J23)), 0)</f>
        <v>0</v>
      </c>
      <c r="O23" s="26">
        <f>IF(AND(H23=0, L23=0), MIN(P22, MAX(0, C23 - D23 - F23 - J23 - N23 - G23 - K23)), 0)</f>
        <v>0</v>
      </c>
      <c r="P23" s="26">
        <f>MAX(0, P22 - O23)</f>
        <v>0</v>
      </c>
      <c r="Q23" s="16">
        <f>IF(AND(E23=TRUE, I23=TRUE, M23=TRUE, A23&lt;=Inputs!$C$20), R23, 0)</f>
        <v>0</v>
      </c>
      <c r="R23" s="16">
        <f>MAX(0, C23 - D23 - F23 - J23 - N23 - G23 - K23 - O23)</f>
        <v>0</v>
      </c>
      <c r="S23" s="27">
        <f>IF(ABS(D23+(F23+J23+N23)+(G23+K23+O23)+R23-C23)&lt;1, "OK", "ERR")</f>
        <v>0</v>
      </c>
      <c r="T23" s="28">
        <f>EDATE($T$2, A23)</f>
        <v>0</v>
      </c>
      <c r="U23" s="16">
        <f>F23+G23</f>
        <v>0</v>
      </c>
      <c r="V23" s="16">
        <f>J23+K23</f>
        <v>0</v>
      </c>
      <c r="W23" s="16">
        <f>N23+O23</f>
        <v>0</v>
      </c>
    </row>
    <row r="24" spans="1:23">
      <c r="A24">
        <v>22</v>
      </c>
      <c r="B24" s="16">
        <f>'Asset Side'!B23</f>
        <v>0</v>
      </c>
      <c r="C24" s="16">
        <f>'Asset Side'!J24+'Asset Side'!K24</f>
        <v>0</v>
      </c>
      <c r="D24" s="16">
        <f>MIN(C24, B23*Inputs!$C$21/12)</f>
        <v>0</v>
      </c>
      <c r="E24" s="23">
        <f>IF(AND(B24 &gt;= H23*Inputs!$C$27, Inputs!$C$31&lt;&gt;"Yes"), TRUE, FALSE)</f>
        <v>0</v>
      </c>
      <c r="F24" s="24">
        <f>MIN(H23*Inputs!$D$14/12, MAX(0, C24 - D24))</f>
        <v>0</v>
      </c>
      <c r="G24" s="24">
        <f>MIN(H23, MAX(0, C24 - D24 - F24 - J24 - N24))</f>
        <v>0</v>
      </c>
      <c r="H24" s="24">
        <f>MAX(0, H23 - G24)</f>
        <v>0</v>
      </c>
      <c r="I24" s="23">
        <f>IF(B24 &gt;= (H23+L23)*Inputs!$C$28, TRUE, FALSE)</f>
        <v>0</v>
      </c>
      <c r="J24" s="25">
        <f>IF(AND(E24=TRUE, A24&lt;=Inputs!$C$20), MIN(L23*Inputs!$D$15/12, MAX(0, C24 - D24 - F24)), 0)</f>
        <v>0</v>
      </c>
      <c r="K24" s="25">
        <f>IF(H24=0, MIN(L23, MAX(0, C24 - D24 - F24 - J24 - N24 - G24)), 0)</f>
        <v>0</v>
      </c>
      <c r="L24" s="25">
        <f>MAX(0, L23 - K24)</f>
        <v>0</v>
      </c>
      <c r="M24" s="23">
        <f>IF(B24 &gt;= (H23+L23+P23)*Inputs!$C$29, TRUE, FALSE)</f>
        <v>0</v>
      </c>
      <c r="N24" s="26">
        <f>IF(AND(I24=TRUE, A24&lt;=Inputs!$C$20), MIN(P23*Inputs!$D$16/12, MAX(0, C24 - D24 - F24 - J24)), 0)</f>
        <v>0</v>
      </c>
      <c r="O24" s="26">
        <f>IF(AND(H24=0, L24=0), MIN(P23, MAX(0, C24 - D24 - F24 - J24 - N24 - G24 - K24)), 0)</f>
        <v>0</v>
      </c>
      <c r="P24" s="26">
        <f>MAX(0, P23 - O24)</f>
        <v>0</v>
      </c>
      <c r="Q24" s="16">
        <f>IF(AND(E24=TRUE, I24=TRUE, M24=TRUE, A24&lt;=Inputs!$C$20), R24, 0)</f>
        <v>0</v>
      </c>
      <c r="R24" s="16">
        <f>MAX(0, C24 - D24 - F24 - J24 - N24 - G24 - K24 - O24)</f>
        <v>0</v>
      </c>
      <c r="S24" s="27">
        <f>IF(ABS(D24+(F24+J24+N24)+(G24+K24+O24)+R24-C24)&lt;1, "OK", "ERR")</f>
        <v>0</v>
      </c>
      <c r="T24" s="28">
        <f>EDATE($T$2, A24)</f>
        <v>0</v>
      </c>
      <c r="U24" s="16">
        <f>F24+G24</f>
        <v>0</v>
      </c>
      <c r="V24" s="16">
        <f>J24+K24</f>
        <v>0</v>
      </c>
      <c r="W24" s="16">
        <f>N24+O24</f>
        <v>0</v>
      </c>
    </row>
    <row r="25" spans="1:23">
      <c r="A25">
        <v>23</v>
      </c>
      <c r="B25" s="16">
        <f>'Asset Side'!B24</f>
        <v>0</v>
      </c>
      <c r="C25" s="16">
        <f>'Asset Side'!J25+'Asset Side'!K25</f>
        <v>0</v>
      </c>
      <c r="D25" s="16">
        <f>MIN(C25, B24*Inputs!$C$21/12)</f>
        <v>0</v>
      </c>
      <c r="E25" s="23">
        <f>IF(AND(B25 &gt;= H24*Inputs!$C$27, Inputs!$C$31&lt;&gt;"Yes"), TRUE, FALSE)</f>
        <v>0</v>
      </c>
      <c r="F25" s="24">
        <f>MIN(H24*Inputs!$D$14/12, MAX(0, C25 - D25))</f>
        <v>0</v>
      </c>
      <c r="G25" s="24">
        <f>MIN(H24, MAX(0, C25 - D25 - F25 - J25 - N25))</f>
        <v>0</v>
      </c>
      <c r="H25" s="24">
        <f>MAX(0, H24 - G25)</f>
        <v>0</v>
      </c>
      <c r="I25" s="23">
        <f>IF(B25 &gt;= (H24+L24)*Inputs!$C$28, TRUE, FALSE)</f>
        <v>0</v>
      </c>
      <c r="J25" s="25">
        <f>IF(AND(E25=TRUE, A25&lt;=Inputs!$C$20), MIN(L24*Inputs!$D$15/12, MAX(0, C25 - D25 - F25)), 0)</f>
        <v>0</v>
      </c>
      <c r="K25" s="25">
        <f>IF(H25=0, MIN(L24, MAX(0, C25 - D25 - F25 - J25 - N25 - G25)), 0)</f>
        <v>0</v>
      </c>
      <c r="L25" s="25">
        <f>MAX(0, L24 - K25)</f>
        <v>0</v>
      </c>
      <c r="M25" s="23">
        <f>IF(B25 &gt;= (H24+L24+P24)*Inputs!$C$29, TRUE, FALSE)</f>
        <v>0</v>
      </c>
      <c r="N25" s="26">
        <f>IF(AND(I25=TRUE, A25&lt;=Inputs!$C$20), MIN(P24*Inputs!$D$16/12, MAX(0, C25 - D25 - F25 - J25)), 0)</f>
        <v>0</v>
      </c>
      <c r="O25" s="26">
        <f>IF(AND(H25=0, L25=0), MIN(P24, MAX(0, C25 - D25 - F25 - J25 - N25 - G25 - K25)), 0)</f>
        <v>0</v>
      </c>
      <c r="P25" s="26">
        <f>MAX(0, P24 - O25)</f>
        <v>0</v>
      </c>
      <c r="Q25" s="16">
        <f>IF(AND(E25=TRUE, I25=TRUE, M25=TRUE, A25&lt;=Inputs!$C$20), R25, 0)</f>
        <v>0</v>
      </c>
      <c r="R25" s="16">
        <f>MAX(0, C25 - D25 - F25 - J25 - N25 - G25 - K25 - O25)</f>
        <v>0</v>
      </c>
      <c r="S25" s="27">
        <f>IF(ABS(D25+(F25+J25+N25)+(G25+K25+O25)+R25-C25)&lt;1, "OK", "ERR")</f>
        <v>0</v>
      </c>
      <c r="T25" s="28">
        <f>EDATE($T$2, A25)</f>
        <v>0</v>
      </c>
      <c r="U25" s="16">
        <f>F25+G25</f>
        <v>0</v>
      </c>
      <c r="V25" s="16">
        <f>J25+K25</f>
        <v>0</v>
      </c>
      <c r="W25" s="16">
        <f>N25+O25</f>
        <v>0</v>
      </c>
    </row>
    <row r="26" spans="1:23">
      <c r="A26">
        <v>24</v>
      </c>
      <c r="B26" s="16">
        <f>'Asset Side'!B25</f>
        <v>0</v>
      </c>
      <c r="C26" s="16">
        <f>'Asset Side'!J26+'Asset Side'!K26</f>
        <v>0</v>
      </c>
      <c r="D26" s="16">
        <f>MIN(C26, B25*Inputs!$C$21/12)</f>
        <v>0</v>
      </c>
      <c r="E26" s="23">
        <f>IF(AND(B26 &gt;= H25*Inputs!$C$27, Inputs!$C$31&lt;&gt;"Yes"), TRUE, FALSE)</f>
        <v>0</v>
      </c>
      <c r="F26" s="24">
        <f>MIN(H25*Inputs!$D$14/12, MAX(0, C26 - D26))</f>
        <v>0</v>
      </c>
      <c r="G26" s="24">
        <f>MIN(H25, MAX(0, C26 - D26 - F26 - J26 - N26))</f>
        <v>0</v>
      </c>
      <c r="H26" s="24">
        <f>MAX(0, H25 - G26)</f>
        <v>0</v>
      </c>
      <c r="I26" s="23">
        <f>IF(B26 &gt;= (H25+L25)*Inputs!$C$28, TRUE, FALSE)</f>
        <v>0</v>
      </c>
      <c r="J26" s="25">
        <f>IF(AND(E26=TRUE, A26&lt;=Inputs!$C$20), MIN(L25*Inputs!$D$15/12, MAX(0, C26 - D26 - F26)), 0)</f>
        <v>0</v>
      </c>
      <c r="K26" s="25">
        <f>IF(H26=0, MIN(L25, MAX(0, C26 - D26 - F26 - J26 - N26 - G26)), 0)</f>
        <v>0</v>
      </c>
      <c r="L26" s="25">
        <f>MAX(0, L25 - K26)</f>
        <v>0</v>
      </c>
      <c r="M26" s="23">
        <f>IF(B26 &gt;= (H25+L25+P25)*Inputs!$C$29, TRUE, FALSE)</f>
        <v>0</v>
      </c>
      <c r="N26" s="26">
        <f>IF(AND(I26=TRUE, A26&lt;=Inputs!$C$20), MIN(P25*Inputs!$D$16/12, MAX(0, C26 - D26 - F26 - J26)), 0)</f>
        <v>0</v>
      </c>
      <c r="O26" s="26">
        <f>IF(AND(H26=0, L26=0), MIN(P25, MAX(0, C26 - D26 - F26 - J26 - N26 - G26 - K26)), 0)</f>
        <v>0</v>
      </c>
      <c r="P26" s="26">
        <f>MAX(0, P25 - O26)</f>
        <v>0</v>
      </c>
      <c r="Q26" s="16">
        <f>IF(AND(E26=TRUE, I26=TRUE, M26=TRUE, A26&lt;=Inputs!$C$20), R26, 0)</f>
        <v>0</v>
      </c>
      <c r="R26" s="16">
        <f>MAX(0, C26 - D26 - F26 - J26 - N26 - G26 - K26 - O26)</f>
        <v>0</v>
      </c>
      <c r="S26" s="27">
        <f>IF(ABS(D26+(F26+J26+N26)+(G26+K26+O26)+R26-C26)&lt;1, "OK", "ERR")</f>
        <v>0</v>
      </c>
      <c r="T26" s="28">
        <f>EDATE($T$2, A26)</f>
        <v>0</v>
      </c>
      <c r="U26" s="16">
        <f>F26+G26</f>
        <v>0</v>
      </c>
      <c r="V26" s="16">
        <f>J26+K26</f>
        <v>0</v>
      </c>
      <c r="W26" s="16">
        <f>N26+O26</f>
        <v>0</v>
      </c>
    </row>
    <row r="27" spans="1:23">
      <c r="A27">
        <v>25</v>
      </c>
      <c r="B27" s="16">
        <f>'Asset Side'!B26</f>
        <v>0</v>
      </c>
      <c r="C27" s="16">
        <f>'Asset Side'!J27+'Asset Side'!K27</f>
        <v>0</v>
      </c>
      <c r="D27" s="16">
        <f>MIN(C27, B26*Inputs!$C$21/12)</f>
        <v>0</v>
      </c>
      <c r="E27" s="23">
        <f>IF(AND(B27 &gt;= H26*Inputs!$C$27, Inputs!$C$31&lt;&gt;"Yes"), TRUE, FALSE)</f>
        <v>0</v>
      </c>
      <c r="F27" s="24">
        <f>MIN(H26*Inputs!$D$14/12, MAX(0, C27 - D27))</f>
        <v>0</v>
      </c>
      <c r="G27" s="24">
        <f>MIN(H26, MAX(0, C27 - D27 - F27 - J27 - N27))</f>
        <v>0</v>
      </c>
      <c r="H27" s="24">
        <f>MAX(0, H26 - G27)</f>
        <v>0</v>
      </c>
      <c r="I27" s="23">
        <f>IF(B27 &gt;= (H26+L26)*Inputs!$C$28, TRUE, FALSE)</f>
        <v>0</v>
      </c>
      <c r="J27" s="25">
        <f>IF(AND(E27=TRUE, A27&lt;=Inputs!$C$20), MIN(L26*Inputs!$D$15/12, MAX(0, C27 - D27 - F27)), 0)</f>
        <v>0</v>
      </c>
      <c r="K27" s="25">
        <f>IF(H27=0, MIN(L26, MAX(0, C27 - D27 - F27 - J27 - N27 - G27)), 0)</f>
        <v>0</v>
      </c>
      <c r="L27" s="25">
        <f>MAX(0, L26 - K27)</f>
        <v>0</v>
      </c>
      <c r="M27" s="23">
        <f>IF(B27 &gt;= (H26+L26+P26)*Inputs!$C$29, TRUE, FALSE)</f>
        <v>0</v>
      </c>
      <c r="N27" s="26">
        <f>IF(AND(I27=TRUE, A27&lt;=Inputs!$C$20), MIN(P26*Inputs!$D$16/12, MAX(0, C27 - D27 - F27 - J27)), 0)</f>
        <v>0</v>
      </c>
      <c r="O27" s="26">
        <f>IF(AND(H27=0, L27=0), MIN(P26, MAX(0, C27 - D27 - F27 - J27 - N27 - G27 - K27)), 0)</f>
        <v>0</v>
      </c>
      <c r="P27" s="26">
        <f>MAX(0, P26 - O27)</f>
        <v>0</v>
      </c>
      <c r="Q27" s="16">
        <f>IF(AND(E27=TRUE, I27=TRUE, M27=TRUE, A27&lt;=Inputs!$C$20), R27, 0)</f>
        <v>0</v>
      </c>
      <c r="R27" s="16">
        <f>MAX(0, C27 - D27 - F27 - J27 - N27 - G27 - K27 - O27)</f>
        <v>0</v>
      </c>
      <c r="S27" s="27">
        <f>IF(ABS(D27+(F27+J27+N27)+(G27+K27+O27)+R27-C27)&lt;1, "OK", "ERR")</f>
        <v>0</v>
      </c>
      <c r="T27" s="28">
        <f>EDATE($T$2, A27)</f>
        <v>0</v>
      </c>
      <c r="U27" s="16">
        <f>F27+G27</f>
        <v>0</v>
      </c>
      <c r="V27" s="16">
        <f>J27+K27</f>
        <v>0</v>
      </c>
      <c r="W27" s="16">
        <f>N27+O27</f>
        <v>0</v>
      </c>
    </row>
    <row r="28" spans="1:23">
      <c r="A28">
        <v>26</v>
      </c>
      <c r="B28" s="16">
        <f>'Asset Side'!B27</f>
        <v>0</v>
      </c>
      <c r="C28" s="16">
        <f>'Asset Side'!J28+'Asset Side'!K28</f>
        <v>0</v>
      </c>
      <c r="D28" s="16">
        <f>MIN(C28, B27*Inputs!$C$21/12)</f>
        <v>0</v>
      </c>
      <c r="E28" s="23">
        <f>IF(AND(B28 &gt;= H27*Inputs!$C$27, Inputs!$C$31&lt;&gt;"Yes"), TRUE, FALSE)</f>
        <v>0</v>
      </c>
      <c r="F28" s="24">
        <f>MIN(H27*Inputs!$D$14/12, MAX(0, C28 - D28))</f>
        <v>0</v>
      </c>
      <c r="G28" s="24">
        <f>MIN(H27, MAX(0, C28 - D28 - F28 - J28 - N28))</f>
        <v>0</v>
      </c>
      <c r="H28" s="24">
        <f>MAX(0, H27 - G28)</f>
        <v>0</v>
      </c>
      <c r="I28" s="23">
        <f>IF(B28 &gt;= (H27+L27)*Inputs!$C$28, TRUE, FALSE)</f>
        <v>0</v>
      </c>
      <c r="J28" s="25">
        <f>IF(AND(E28=TRUE, A28&lt;=Inputs!$C$20), MIN(L27*Inputs!$D$15/12, MAX(0, C28 - D28 - F28)), 0)</f>
        <v>0</v>
      </c>
      <c r="K28" s="25">
        <f>IF(H28=0, MIN(L27, MAX(0, C28 - D28 - F28 - J28 - N28 - G28)), 0)</f>
        <v>0</v>
      </c>
      <c r="L28" s="25">
        <f>MAX(0, L27 - K28)</f>
        <v>0</v>
      </c>
      <c r="M28" s="23">
        <f>IF(B28 &gt;= (H27+L27+P27)*Inputs!$C$29, TRUE, FALSE)</f>
        <v>0</v>
      </c>
      <c r="N28" s="26">
        <f>IF(AND(I28=TRUE, A28&lt;=Inputs!$C$20), MIN(P27*Inputs!$D$16/12, MAX(0, C28 - D28 - F28 - J28)), 0)</f>
        <v>0</v>
      </c>
      <c r="O28" s="26">
        <f>IF(AND(H28=0, L28=0), MIN(P27, MAX(0, C28 - D28 - F28 - J28 - N28 - G28 - K28)), 0)</f>
        <v>0</v>
      </c>
      <c r="P28" s="26">
        <f>MAX(0, P27 - O28)</f>
        <v>0</v>
      </c>
      <c r="Q28" s="16">
        <f>IF(AND(E28=TRUE, I28=TRUE, M28=TRUE, A28&lt;=Inputs!$C$20), R28, 0)</f>
        <v>0</v>
      </c>
      <c r="R28" s="16">
        <f>MAX(0, C28 - D28 - F28 - J28 - N28 - G28 - K28 - O28)</f>
        <v>0</v>
      </c>
      <c r="S28" s="27">
        <f>IF(ABS(D28+(F28+J28+N28)+(G28+K28+O28)+R28-C28)&lt;1, "OK", "ERR")</f>
        <v>0</v>
      </c>
      <c r="T28" s="28">
        <f>EDATE($T$2, A28)</f>
        <v>0</v>
      </c>
      <c r="U28" s="16">
        <f>F28+G28</f>
        <v>0</v>
      </c>
      <c r="V28" s="16">
        <f>J28+K28</f>
        <v>0</v>
      </c>
      <c r="W28" s="16">
        <f>N28+O28</f>
        <v>0</v>
      </c>
    </row>
    <row r="29" spans="1:23">
      <c r="A29">
        <v>27</v>
      </c>
      <c r="B29" s="16">
        <f>'Asset Side'!B28</f>
        <v>0</v>
      </c>
      <c r="C29" s="16">
        <f>'Asset Side'!J29+'Asset Side'!K29</f>
        <v>0</v>
      </c>
      <c r="D29" s="16">
        <f>MIN(C29, B28*Inputs!$C$21/12)</f>
        <v>0</v>
      </c>
      <c r="E29" s="23">
        <f>IF(AND(B29 &gt;= H28*Inputs!$C$27, Inputs!$C$31&lt;&gt;"Yes"), TRUE, FALSE)</f>
        <v>0</v>
      </c>
      <c r="F29" s="24">
        <f>MIN(H28*Inputs!$D$14/12, MAX(0, C29 - D29))</f>
        <v>0</v>
      </c>
      <c r="G29" s="24">
        <f>MIN(H28, MAX(0, C29 - D29 - F29 - J29 - N29))</f>
        <v>0</v>
      </c>
      <c r="H29" s="24">
        <f>MAX(0, H28 - G29)</f>
        <v>0</v>
      </c>
      <c r="I29" s="23">
        <f>IF(B29 &gt;= (H28+L28)*Inputs!$C$28, TRUE, FALSE)</f>
        <v>0</v>
      </c>
      <c r="J29" s="25">
        <f>IF(AND(E29=TRUE, A29&lt;=Inputs!$C$20), MIN(L28*Inputs!$D$15/12, MAX(0, C29 - D29 - F29)), 0)</f>
        <v>0</v>
      </c>
      <c r="K29" s="25">
        <f>IF(H29=0, MIN(L28, MAX(0, C29 - D29 - F29 - J29 - N29 - G29)), 0)</f>
        <v>0</v>
      </c>
      <c r="L29" s="25">
        <f>MAX(0, L28 - K29)</f>
        <v>0</v>
      </c>
      <c r="M29" s="23">
        <f>IF(B29 &gt;= (H28+L28+P28)*Inputs!$C$29, TRUE, FALSE)</f>
        <v>0</v>
      </c>
      <c r="N29" s="26">
        <f>IF(AND(I29=TRUE, A29&lt;=Inputs!$C$20), MIN(P28*Inputs!$D$16/12, MAX(0, C29 - D29 - F29 - J29)), 0)</f>
        <v>0</v>
      </c>
      <c r="O29" s="26">
        <f>IF(AND(H29=0, L29=0), MIN(P28, MAX(0, C29 - D29 - F29 - J29 - N29 - G29 - K29)), 0)</f>
        <v>0</v>
      </c>
      <c r="P29" s="26">
        <f>MAX(0, P28 - O29)</f>
        <v>0</v>
      </c>
      <c r="Q29" s="16">
        <f>IF(AND(E29=TRUE, I29=TRUE, M29=TRUE, A29&lt;=Inputs!$C$20), R29, 0)</f>
        <v>0</v>
      </c>
      <c r="R29" s="16">
        <f>MAX(0, C29 - D29 - F29 - J29 - N29 - G29 - K29 - O29)</f>
        <v>0</v>
      </c>
      <c r="S29" s="27">
        <f>IF(ABS(D29+(F29+J29+N29)+(G29+K29+O29)+R29-C29)&lt;1, "OK", "ERR")</f>
        <v>0</v>
      </c>
      <c r="T29" s="28">
        <f>EDATE($T$2, A29)</f>
        <v>0</v>
      </c>
      <c r="U29" s="16">
        <f>F29+G29</f>
        <v>0</v>
      </c>
      <c r="V29" s="16">
        <f>J29+K29</f>
        <v>0</v>
      </c>
      <c r="W29" s="16">
        <f>N29+O29</f>
        <v>0</v>
      </c>
    </row>
    <row r="30" spans="1:23">
      <c r="A30">
        <v>28</v>
      </c>
      <c r="B30" s="16">
        <f>'Asset Side'!B29</f>
        <v>0</v>
      </c>
      <c r="C30" s="16">
        <f>'Asset Side'!J30+'Asset Side'!K30</f>
        <v>0</v>
      </c>
      <c r="D30" s="16">
        <f>MIN(C30, B29*Inputs!$C$21/12)</f>
        <v>0</v>
      </c>
      <c r="E30" s="23">
        <f>IF(AND(B30 &gt;= H29*Inputs!$C$27, Inputs!$C$31&lt;&gt;"Yes"), TRUE, FALSE)</f>
        <v>0</v>
      </c>
      <c r="F30" s="24">
        <f>MIN(H29*Inputs!$D$14/12, MAX(0, C30 - D30))</f>
        <v>0</v>
      </c>
      <c r="G30" s="24">
        <f>MIN(H29, MAX(0, C30 - D30 - F30 - J30 - N30))</f>
        <v>0</v>
      </c>
      <c r="H30" s="24">
        <f>MAX(0, H29 - G30)</f>
        <v>0</v>
      </c>
      <c r="I30" s="23">
        <f>IF(B30 &gt;= (H29+L29)*Inputs!$C$28, TRUE, FALSE)</f>
        <v>0</v>
      </c>
      <c r="J30" s="25">
        <f>IF(AND(E30=TRUE, A30&lt;=Inputs!$C$20), MIN(L29*Inputs!$D$15/12, MAX(0, C30 - D30 - F30)), 0)</f>
        <v>0</v>
      </c>
      <c r="K30" s="25">
        <f>IF(H30=0, MIN(L29, MAX(0, C30 - D30 - F30 - J30 - N30 - G30)), 0)</f>
        <v>0</v>
      </c>
      <c r="L30" s="25">
        <f>MAX(0, L29 - K30)</f>
        <v>0</v>
      </c>
      <c r="M30" s="23">
        <f>IF(B30 &gt;= (H29+L29+P29)*Inputs!$C$29, TRUE, FALSE)</f>
        <v>0</v>
      </c>
      <c r="N30" s="26">
        <f>IF(AND(I30=TRUE, A30&lt;=Inputs!$C$20), MIN(P29*Inputs!$D$16/12, MAX(0, C30 - D30 - F30 - J30)), 0)</f>
        <v>0</v>
      </c>
      <c r="O30" s="26">
        <f>IF(AND(H30=0, L30=0), MIN(P29, MAX(0, C30 - D30 - F30 - J30 - N30 - G30 - K30)), 0)</f>
        <v>0</v>
      </c>
      <c r="P30" s="26">
        <f>MAX(0, P29 - O30)</f>
        <v>0</v>
      </c>
      <c r="Q30" s="16">
        <f>IF(AND(E30=TRUE, I30=TRUE, M30=TRUE, A30&lt;=Inputs!$C$20), R30, 0)</f>
        <v>0</v>
      </c>
      <c r="R30" s="16">
        <f>MAX(0, C30 - D30 - F30 - J30 - N30 - G30 - K30 - O30)</f>
        <v>0</v>
      </c>
      <c r="S30" s="27">
        <f>IF(ABS(D30+(F30+J30+N30)+(G30+K30+O30)+R30-C30)&lt;1, "OK", "ERR")</f>
        <v>0</v>
      </c>
      <c r="T30" s="28">
        <f>EDATE($T$2, A30)</f>
        <v>0</v>
      </c>
      <c r="U30" s="16">
        <f>F30+G30</f>
        <v>0</v>
      </c>
      <c r="V30" s="16">
        <f>J30+K30</f>
        <v>0</v>
      </c>
      <c r="W30" s="16">
        <f>N30+O30</f>
        <v>0</v>
      </c>
    </row>
    <row r="31" spans="1:23">
      <c r="A31">
        <v>29</v>
      </c>
      <c r="B31" s="16">
        <f>'Asset Side'!B30</f>
        <v>0</v>
      </c>
      <c r="C31" s="16">
        <f>'Asset Side'!J31+'Asset Side'!K31</f>
        <v>0</v>
      </c>
      <c r="D31" s="16">
        <f>MIN(C31, B30*Inputs!$C$21/12)</f>
        <v>0</v>
      </c>
      <c r="E31" s="23">
        <f>IF(AND(B31 &gt;= H30*Inputs!$C$27, Inputs!$C$31&lt;&gt;"Yes"), TRUE, FALSE)</f>
        <v>0</v>
      </c>
      <c r="F31" s="24">
        <f>MIN(H30*Inputs!$D$14/12, MAX(0, C31 - D31))</f>
        <v>0</v>
      </c>
      <c r="G31" s="24">
        <f>MIN(H30, MAX(0, C31 - D31 - F31 - J31 - N31))</f>
        <v>0</v>
      </c>
      <c r="H31" s="24">
        <f>MAX(0, H30 - G31)</f>
        <v>0</v>
      </c>
      <c r="I31" s="23">
        <f>IF(B31 &gt;= (H30+L30)*Inputs!$C$28, TRUE, FALSE)</f>
        <v>0</v>
      </c>
      <c r="J31" s="25">
        <f>IF(AND(E31=TRUE, A31&lt;=Inputs!$C$20), MIN(L30*Inputs!$D$15/12, MAX(0, C31 - D31 - F31)), 0)</f>
        <v>0</v>
      </c>
      <c r="K31" s="25">
        <f>IF(H31=0, MIN(L30, MAX(0, C31 - D31 - F31 - J31 - N31 - G31)), 0)</f>
        <v>0</v>
      </c>
      <c r="L31" s="25">
        <f>MAX(0, L30 - K31)</f>
        <v>0</v>
      </c>
      <c r="M31" s="23">
        <f>IF(B31 &gt;= (H30+L30+P30)*Inputs!$C$29, TRUE, FALSE)</f>
        <v>0</v>
      </c>
      <c r="N31" s="26">
        <f>IF(AND(I31=TRUE, A31&lt;=Inputs!$C$20), MIN(P30*Inputs!$D$16/12, MAX(0, C31 - D31 - F31 - J31)), 0)</f>
        <v>0</v>
      </c>
      <c r="O31" s="26">
        <f>IF(AND(H31=0, L31=0), MIN(P30, MAX(0, C31 - D31 - F31 - J31 - N31 - G31 - K31)), 0)</f>
        <v>0</v>
      </c>
      <c r="P31" s="26">
        <f>MAX(0, P30 - O31)</f>
        <v>0</v>
      </c>
      <c r="Q31" s="16">
        <f>IF(AND(E31=TRUE, I31=TRUE, M31=TRUE, A31&lt;=Inputs!$C$20), R31, 0)</f>
        <v>0</v>
      </c>
      <c r="R31" s="16">
        <f>MAX(0, C31 - D31 - F31 - J31 - N31 - G31 - K31 - O31)</f>
        <v>0</v>
      </c>
      <c r="S31" s="27">
        <f>IF(ABS(D31+(F31+J31+N31)+(G31+K31+O31)+R31-C31)&lt;1, "OK", "ERR")</f>
        <v>0</v>
      </c>
      <c r="T31" s="28">
        <f>EDATE($T$2, A31)</f>
        <v>0</v>
      </c>
      <c r="U31" s="16">
        <f>F31+G31</f>
        <v>0</v>
      </c>
      <c r="V31" s="16">
        <f>J31+K31</f>
        <v>0</v>
      </c>
      <c r="W31" s="16">
        <f>N31+O31</f>
        <v>0</v>
      </c>
    </row>
    <row r="32" spans="1:23">
      <c r="A32">
        <v>30</v>
      </c>
      <c r="B32" s="16">
        <f>'Asset Side'!B31</f>
        <v>0</v>
      </c>
      <c r="C32" s="16">
        <f>'Asset Side'!J32+'Asset Side'!K32</f>
        <v>0</v>
      </c>
      <c r="D32" s="16">
        <f>MIN(C32, B31*Inputs!$C$21/12)</f>
        <v>0</v>
      </c>
      <c r="E32" s="23">
        <f>IF(AND(B32 &gt;= H31*Inputs!$C$27, Inputs!$C$31&lt;&gt;"Yes"), TRUE, FALSE)</f>
        <v>0</v>
      </c>
      <c r="F32" s="24">
        <f>MIN(H31*Inputs!$D$14/12, MAX(0, C32 - D32))</f>
        <v>0</v>
      </c>
      <c r="G32" s="24">
        <f>MIN(H31, MAX(0, C32 - D32 - F32 - J32 - N32))</f>
        <v>0</v>
      </c>
      <c r="H32" s="24">
        <f>MAX(0, H31 - G32)</f>
        <v>0</v>
      </c>
      <c r="I32" s="23">
        <f>IF(B32 &gt;= (H31+L31)*Inputs!$C$28, TRUE, FALSE)</f>
        <v>0</v>
      </c>
      <c r="J32" s="25">
        <f>IF(AND(E32=TRUE, A32&lt;=Inputs!$C$20), MIN(L31*Inputs!$D$15/12, MAX(0, C32 - D32 - F32)), 0)</f>
        <v>0</v>
      </c>
      <c r="K32" s="25">
        <f>IF(H32=0, MIN(L31, MAX(0, C32 - D32 - F32 - J32 - N32 - G32)), 0)</f>
        <v>0</v>
      </c>
      <c r="L32" s="25">
        <f>MAX(0, L31 - K32)</f>
        <v>0</v>
      </c>
      <c r="M32" s="23">
        <f>IF(B32 &gt;= (H31+L31+P31)*Inputs!$C$29, TRUE, FALSE)</f>
        <v>0</v>
      </c>
      <c r="N32" s="26">
        <f>IF(AND(I32=TRUE, A32&lt;=Inputs!$C$20), MIN(P31*Inputs!$D$16/12, MAX(0, C32 - D32 - F32 - J32)), 0)</f>
        <v>0</v>
      </c>
      <c r="O32" s="26">
        <f>IF(AND(H32=0, L32=0), MIN(P31, MAX(0, C32 - D32 - F32 - J32 - N32 - G32 - K32)), 0)</f>
        <v>0</v>
      </c>
      <c r="P32" s="26">
        <f>MAX(0, P31 - O32)</f>
        <v>0</v>
      </c>
      <c r="Q32" s="16">
        <f>IF(AND(E32=TRUE, I32=TRUE, M32=TRUE, A32&lt;=Inputs!$C$20), R32, 0)</f>
        <v>0</v>
      </c>
      <c r="R32" s="16">
        <f>MAX(0, C32 - D32 - F32 - J32 - N32 - G32 - K32 - O32)</f>
        <v>0</v>
      </c>
      <c r="S32" s="27">
        <f>IF(ABS(D32+(F32+J32+N32)+(G32+K32+O32)+R32-C32)&lt;1, "OK", "ERR")</f>
        <v>0</v>
      </c>
      <c r="T32" s="28">
        <f>EDATE($T$2, A32)</f>
        <v>0</v>
      </c>
      <c r="U32" s="16">
        <f>F32+G32</f>
        <v>0</v>
      </c>
      <c r="V32" s="16">
        <f>J32+K32</f>
        <v>0</v>
      </c>
      <c r="W32" s="16">
        <f>N32+O32</f>
        <v>0</v>
      </c>
    </row>
    <row r="33" spans="1:23">
      <c r="A33">
        <v>31</v>
      </c>
      <c r="B33" s="16">
        <f>'Asset Side'!B32</f>
        <v>0</v>
      </c>
      <c r="C33" s="16">
        <f>'Asset Side'!J33+'Asset Side'!K33</f>
        <v>0</v>
      </c>
      <c r="D33" s="16">
        <f>MIN(C33, B32*Inputs!$C$21/12)</f>
        <v>0</v>
      </c>
      <c r="E33" s="23">
        <f>IF(AND(B33 &gt;= H32*Inputs!$C$27, Inputs!$C$31&lt;&gt;"Yes"), TRUE, FALSE)</f>
        <v>0</v>
      </c>
      <c r="F33" s="24">
        <f>MIN(H32*Inputs!$D$14/12, MAX(0, C33 - D33))</f>
        <v>0</v>
      </c>
      <c r="G33" s="24">
        <f>MIN(H32, MAX(0, C33 - D33 - F33 - J33 - N33))</f>
        <v>0</v>
      </c>
      <c r="H33" s="24">
        <f>MAX(0, H32 - G33)</f>
        <v>0</v>
      </c>
      <c r="I33" s="23">
        <f>IF(B33 &gt;= (H32+L32)*Inputs!$C$28, TRUE, FALSE)</f>
        <v>0</v>
      </c>
      <c r="J33" s="25">
        <f>IF(AND(E33=TRUE, A33&lt;=Inputs!$C$20), MIN(L32*Inputs!$D$15/12, MAX(0, C33 - D33 - F33)), 0)</f>
        <v>0</v>
      </c>
      <c r="K33" s="25">
        <f>IF(H33=0, MIN(L32, MAX(0, C33 - D33 - F33 - J33 - N33 - G33)), 0)</f>
        <v>0</v>
      </c>
      <c r="L33" s="25">
        <f>MAX(0, L32 - K33)</f>
        <v>0</v>
      </c>
      <c r="M33" s="23">
        <f>IF(B33 &gt;= (H32+L32+P32)*Inputs!$C$29, TRUE, FALSE)</f>
        <v>0</v>
      </c>
      <c r="N33" s="26">
        <f>IF(AND(I33=TRUE, A33&lt;=Inputs!$C$20), MIN(P32*Inputs!$D$16/12, MAX(0, C33 - D33 - F33 - J33)), 0)</f>
        <v>0</v>
      </c>
      <c r="O33" s="26">
        <f>IF(AND(H33=0, L33=0), MIN(P32, MAX(0, C33 - D33 - F33 - J33 - N33 - G33 - K33)), 0)</f>
        <v>0</v>
      </c>
      <c r="P33" s="26">
        <f>MAX(0, P32 - O33)</f>
        <v>0</v>
      </c>
      <c r="Q33" s="16">
        <f>IF(AND(E33=TRUE, I33=TRUE, M33=TRUE, A33&lt;=Inputs!$C$20), R33, 0)</f>
        <v>0</v>
      </c>
      <c r="R33" s="16">
        <f>MAX(0, C33 - D33 - F33 - J33 - N33 - G33 - K33 - O33)</f>
        <v>0</v>
      </c>
      <c r="S33" s="27">
        <f>IF(ABS(D33+(F33+J33+N33)+(G33+K33+O33)+R33-C33)&lt;1, "OK", "ERR")</f>
        <v>0</v>
      </c>
      <c r="T33" s="28">
        <f>EDATE($T$2, A33)</f>
        <v>0</v>
      </c>
      <c r="U33" s="16">
        <f>F33+G33</f>
        <v>0</v>
      </c>
      <c r="V33" s="16">
        <f>J33+K33</f>
        <v>0</v>
      </c>
      <c r="W33" s="16">
        <f>N33+O33</f>
        <v>0</v>
      </c>
    </row>
    <row r="34" spans="1:23">
      <c r="A34">
        <v>32</v>
      </c>
      <c r="B34" s="16">
        <f>'Asset Side'!B33</f>
        <v>0</v>
      </c>
      <c r="C34" s="16">
        <f>'Asset Side'!J34+'Asset Side'!K34</f>
        <v>0</v>
      </c>
      <c r="D34" s="16">
        <f>MIN(C34, B33*Inputs!$C$21/12)</f>
        <v>0</v>
      </c>
      <c r="E34" s="23">
        <f>IF(AND(B34 &gt;= H33*Inputs!$C$27, Inputs!$C$31&lt;&gt;"Yes"), TRUE, FALSE)</f>
        <v>0</v>
      </c>
      <c r="F34" s="24">
        <f>MIN(H33*Inputs!$D$14/12, MAX(0, C34 - D34))</f>
        <v>0</v>
      </c>
      <c r="G34" s="24">
        <f>MIN(H33, MAX(0, C34 - D34 - F34 - J34 - N34))</f>
        <v>0</v>
      </c>
      <c r="H34" s="24">
        <f>MAX(0, H33 - G34)</f>
        <v>0</v>
      </c>
      <c r="I34" s="23">
        <f>IF(B34 &gt;= (H33+L33)*Inputs!$C$28, TRUE, FALSE)</f>
        <v>0</v>
      </c>
      <c r="J34" s="25">
        <f>IF(AND(E34=TRUE, A34&lt;=Inputs!$C$20), MIN(L33*Inputs!$D$15/12, MAX(0, C34 - D34 - F34)), 0)</f>
        <v>0</v>
      </c>
      <c r="K34" s="25">
        <f>IF(H34=0, MIN(L33, MAX(0, C34 - D34 - F34 - J34 - N34 - G34)), 0)</f>
        <v>0</v>
      </c>
      <c r="L34" s="25">
        <f>MAX(0, L33 - K34)</f>
        <v>0</v>
      </c>
      <c r="M34" s="23">
        <f>IF(B34 &gt;= (H33+L33+P33)*Inputs!$C$29, TRUE, FALSE)</f>
        <v>0</v>
      </c>
      <c r="N34" s="26">
        <f>IF(AND(I34=TRUE, A34&lt;=Inputs!$C$20), MIN(P33*Inputs!$D$16/12, MAX(0, C34 - D34 - F34 - J34)), 0)</f>
        <v>0</v>
      </c>
      <c r="O34" s="26">
        <f>IF(AND(H34=0, L34=0), MIN(P33, MAX(0, C34 - D34 - F34 - J34 - N34 - G34 - K34)), 0)</f>
        <v>0</v>
      </c>
      <c r="P34" s="26">
        <f>MAX(0, P33 - O34)</f>
        <v>0</v>
      </c>
      <c r="Q34" s="16">
        <f>IF(AND(E34=TRUE, I34=TRUE, M34=TRUE, A34&lt;=Inputs!$C$20), R34, 0)</f>
        <v>0</v>
      </c>
      <c r="R34" s="16">
        <f>MAX(0, C34 - D34 - F34 - J34 - N34 - G34 - K34 - O34)</f>
        <v>0</v>
      </c>
      <c r="S34" s="27">
        <f>IF(ABS(D34+(F34+J34+N34)+(G34+K34+O34)+R34-C34)&lt;1, "OK", "ERR")</f>
        <v>0</v>
      </c>
      <c r="T34" s="28">
        <f>EDATE($T$2, A34)</f>
        <v>0</v>
      </c>
      <c r="U34" s="16">
        <f>F34+G34</f>
        <v>0</v>
      </c>
      <c r="V34" s="16">
        <f>J34+K34</f>
        <v>0</v>
      </c>
      <c r="W34" s="16">
        <f>N34+O34</f>
        <v>0</v>
      </c>
    </row>
    <row r="35" spans="1:23">
      <c r="A35">
        <v>33</v>
      </c>
      <c r="B35" s="16">
        <f>'Asset Side'!B34</f>
        <v>0</v>
      </c>
      <c r="C35" s="16">
        <f>'Asset Side'!J35+'Asset Side'!K35</f>
        <v>0</v>
      </c>
      <c r="D35" s="16">
        <f>MIN(C35, B34*Inputs!$C$21/12)</f>
        <v>0</v>
      </c>
      <c r="E35" s="23">
        <f>IF(AND(B35 &gt;= H34*Inputs!$C$27, Inputs!$C$31&lt;&gt;"Yes"), TRUE, FALSE)</f>
        <v>0</v>
      </c>
      <c r="F35" s="24">
        <f>MIN(H34*Inputs!$D$14/12, MAX(0, C35 - D35))</f>
        <v>0</v>
      </c>
      <c r="G35" s="24">
        <f>MIN(H34, MAX(0, C35 - D35 - F35 - J35 - N35))</f>
        <v>0</v>
      </c>
      <c r="H35" s="24">
        <f>MAX(0, H34 - G35)</f>
        <v>0</v>
      </c>
      <c r="I35" s="23">
        <f>IF(B35 &gt;= (H34+L34)*Inputs!$C$28, TRUE, FALSE)</f>
        <v>0</v>
      </c>
      <c r="J35" s="25">
        <f>IF(AND(E35=TRUE, A35&lt;=Inputs!$C$20), MIN(L34*Inputs!$D$15/12, MAX(0, C35 - D35 - F35)), 0)</f>
        <v>0</v>
      </c>
      <c r="K35" s="25">
        <f>IF(H35=0, MIN(L34, MAX(0, C35 - D35 - F35 - J35 - N35 - G35)), 0)</f>
        <v>0</v>
      </c>
      <c r="L35" s="25">
        <f>MAX(0, L34 - K35)</f>
        <v>0</v>
      </c>
      <c r="M35" s="23">
        <f>IF(B35 &gt;= (H34+L34+P34)*Inputs!$C$29, TRUE, FALSE)</f>
        <v>0</v>
      </c>
      <c r="N35" s="26">
        <f>IF(AND(I35=TRUE, A35&lt;=Inputs!$C$20), MIN(P34*Inputs!$D$16/12, MAX(0, C35 - D35 - F35 - J35)), 0)</f>
        <v>0</v>
      </c>
      <c r="O35" s="26">
        <f>IF(AND(H35=0, L35=0), MIN(P34, MAX(0, C35 - D35 - F35 - J35 - N35 - G35 - K35)), 0)</f>
        <v>0</v>
      </c>
      <c r="P35" s="26">
        <f>MAX(0, P34 - O35)</f>
        <v>0</v>
      </c>
      <c r="Q35" s="16">
        <f>IF(AND(E35=TRUE, I35=TRUE, M35=TRUE, A35&lt;=Inputs!$C$20), R35, 0)</f>
        <v>0</v>
      </c>
      <c r="R35" s="16">
        <f>MAX(0, C35 - D35 - F35 - J35 - N35 - G35 - K35 - O35)</f>
        <v>0</v>
      </c>
      <c r="S35" s="27">
        <f>IF(ABS(D35+(F35+J35+N35)+(G35+K35+O35)+R35-C35)&lt;1, "OK", "ERR")</f>
        <v>0</v>
      </c>
      <c r="T35" s="28">
        <f>EDATE($T$2, A35)</f>
        <v>0</v>
      </c>
      <c r="U35" s="16">
        <f>F35+G35</f>
        <v>0</v>
      </c>
      <c r="V35" s="16">
        <f>J35+K35</f>
        <v>0</v>
      </c>
      <c r="W35" s="16">
        <f>N35+O35</f>
        <v>0</v>
      </c>
    </row>
    <row r="36" spans="1:23">
      <c r="A36">
        <v>34</v>
      </c>
      <c r="B36" s="16">
        <f>'Asset Side'!B35</f>
        <v>0</v>
      </c>
      <c r="C36" s="16">
        <f>'Asset Side'!J36+'Asset Side'!K36</f>
        <v>0</v>
      </c>
      <c r="D36" s="16">
        <f>MIN(C36, B35*Inputs!$C$21/12)</f>
        <v>0</v>
      </c>
      <c r="E36" s="23">
        <f>IF(AND(B36 &gt;= H35*Inputs!$C$27, Inputs!$C$31&lt;&gt;"Yes"), TRUE, FALSE)</f>
        <v>0</v>
      </c>
      <c r="F36" s="24">
        <f>MIN(H35*Inputs!$D$14/12, MAX(0, C36 - D36))</f>
        <v>0</v>
      </c>
      <c r="G36" s="24">
        <f>MIN(H35, MAX(0, C36 - D36 - F36 - J36 - N36))</f>
        <v>0</v>
      </c>
      <c r="H36" s="24">
        <f>MAX(0, H35 - G36)</f>
        <v>0</v>
      </c>
      <c r="I36" s="23">
        <f>IF(B36 &gt;= (H35+L35)*Inputs!$C$28, TRUE, FALSE)</f>
        <v>0</v>
      </c>
      <c r="J36" s="25">
        <f>IF(AND(E36=TRUE, A36&lt;=Inputs!$C$20), MIN(L35*Inputs!$D$15/12, MAX(0, C36 - D36 - F36)), 0)</f>
        <v>0</v>
      </c>
      <c r="K36" s="25">
        <f>IF(H36=0, MIN(L35, MAX(0, C36 - D36 - F36 - J36 - N36 - G36)), 0)</f>
        <v>0</v>
      </c>
      <c r="L36" s="25">
        <f>MAX(0, L35 - K36)</f>
        <v>0</v>
      </c>
      <c r="M36" s="23">
        <f>IF(B36 &gt;= (H35+L35+P35)*Inputs!$C$29, TRUE, FALSE)</f>
        <v>0</v>
      </c>
      <c r="N36" s="26">
        <f>IF(AND(I36=TRUE, A36&lt;=Inputs!$C$20), MIN(P35*Inputs!$D$16/12, MAX(0, C36 - D36 - F36 - J36)), 0)</f>
        <v>0</v>
      </c>
      <c r="O36" s="26">
        <f>IF(AND(H36=0, L36=0), MIN(P35, MAX(0, C36 - D36 - F36 - J36 - N36 - G36 - K36)), 0)</f>
        <v>0</v>
      </c>
      <c r="P36" s="26">
        <f>MAX(0, P35 - O36)</f>
        <v>0</v>
      </c>
      <c r="Q36" s="16">
        <f>IF(AND(E36=TRUE, I36=TRUE, M36=TRUE, A36&lt;=Inputs!$C$20), R36, 0)</f>
        <v>0</v>
      </c>
      <c r="R36" s="16">
        <f>MAX(0, C36 - D36 - F36 - J36 - N36 - G36 - K36 - O36)</f>
        <v>0</v>
      </c>
      <c r="S36" s="27">
        <f>IF(ABS(D36+(F36+J36+N36)+(G36+K36+O36)+R36-C36)&lt;1, "OK", "ERR")</f>
        <v>0</v>
      </c>
      <c r="T36" s="28">
        <f>EDATE($T$2, A36)</f>
        <v>0</v>
      </c>
      <c r="U36" s="16">
        <f>F36+G36</f>
        <v>0</v>
      </c>
      <c r="V36" s="16">
        <f>J36+K36</f>
        <v>0</v>
      </c>
      <c r="W36" s="16">
        <f>N36+O36</f>
        <v>0</v>
      </c>
    </row>
    <row r="37" spans="1:23">
      <c r="A37">
        <v>35</v>
      </c>
      <c r="B37" s="16">
        <f>'Asset Side'!B36</f>
        <v>0</v>
      </c>
      <c r="C37" s="16">
        <f>'Asset Side'!J37+'Asset Side'!K37</f>
        <v>0</v>
      </c>
      <c r="D37" s="16">
        <f>MIN(C37, B36*Inputs!$C$21/12)</f>
        <v>0</v>
      </c>
      <c r="E37" s="23">
        <f>IF(AND(B37 &gt;= H36*Inputs!$C$27, Inputs!$C$31&lt;&gt;"Yes"), TRUE, FALSE)</f>
        <v>0</v>
      </c>
      <c r="F37" s="24">
        <f>MIN(H36*Inputs!$D$14/12, MAX(0, C37 - D37))</f>
        <v>0</v>
      </c>
      <c r="G37" s="24">
        <f>MIN(H36, MAX(0, C37 - D37 - F37 - J37 - N37))</f>
        <v>0</v>
      </c>
      <c r="H37" s="24">
        <f>MAX(0, H36 - G37)</f>
        <v>0</v>
      </c>
      <c r="I37" s="23">
        <f>IF(B37 &gt;= (H36+L36)*Inputs!$C$28, TRUE, FALSE)</f>
        <v>0</v>
      </c>
      <c r="J37" s="25">
        <f>IF(AND(E37=TRUE, A37&lt;=Inputs!$C$20), MIN(L36*Inputs!$D$15/12, MAX(0, C37 - D37 - F37)), 0)</f>
        <v>0</v>
      </c>
      <c r="K37" s="25">
        <f>IF(H37=0, MIN(L36, MAX(0, C37 - D37 - F37 - J37 - N37 - G37)), 0)</f>
        <v>0</v>
      </c>
      <c r="L37" s="25">
        <f>MAX(0, L36 - K37)</f>
        <v>0</v>
      </c>
      <c r="M37" s="23">
        <f>IF(B37 &gt;= (H36+L36+P36)*Inputs!$C$29, TRUE, FALSE)</f>
        <v>0</v>
      </c>
      <c r="N37" s="26">
        <f>IF(AND(I37=TRUE, A37&lt;=Inputs!$C$20), MIN(P36*Inputs!$D$16/12, MAX(0, C37 - D37 - F37 - J37)), 0)</f>
        <v>0</v>
      </c>
      <c r="O37" s="26">
        <f>IF(AND(H37=0, L37=0), MIN(P36, MAX(0, C37 - D37 - F37 - J37 - N37 - G37 - K37)), 0)</f>
        <v>0</v>
      </c>
      <c r="P37" s="26">
        <f>MAX(0, P36 - O37)</f>
        <v>0</v>
      </c>
      <c r="Q37" s="16">
        <f>IF(AND(E37=TRUE, I37=TRUE, M37=TRUE, A37&lt;=Inputs!$C$20), R37, 0)</f>
        <v>0</v>
      </c>
      <c r="R37" s="16">
        <f>MAX(0, C37 - D37 - F37 - J37 - N37 - G37 - K37 - O37)</f>
        <v>0</v>
      </c>
      <c r="S37" s="27">
        <f>IF(ABS(D37+(F37+J37+N37)+(G37+K37+O37)+R37-C37)&lt;1, "OK", "ERR")</f>
        <v>0</v>
      </c>
      <c r="T37" s="28">
        <f>EDATE($T$2, A37)</f>
        <v>0</v>
      </c>
      <c r="U37" s="16">
        <f>F37+G37</f>
        <v>0</v>
      </c>
      <c r="V37" s="16">
        <f>J37+K37</f>
        <v>0</v>
      </c>
      <c r="W37" s="16">
        <f>N37+O37</f>
        <v>0</v>
      </c>
    </row>
    <row r="38" spans="1:23">
      <c r="A38">
        <v>36</v>
      </c>
      <c r="B38" s="16">
        <f>'Asset Side'!B37</f>
        <v>0</v>
      </c>
      <c r="C38" s="16">
        <f>'Asset Side'!J38+'Asset Side'!K38</f>
        <v>0</v>
      </c>
      <c r="D38" s="16">
        <f>MIN(C38, B37*Inputs!$C$21/12)</f>
        <v>0</v>
      </c>
      <c r="E38" s="23">
        <f>IF(AND(B38 &gt;= H37*Inputs!$C$27, Inputs!$C$31&lt;&gt;"Yes"), TRUE, FALSE)</f>
        <v>0</v>
      </c>
      <c r="F38" s="24">
        <f>MIN(H37*Inputs!$D$14/12, MAX(0, C38 - D38))</f>
        <v>0</v>
      </c>
      <c r="G38" s="24">
        <f>MIN(H37, MAX(0, C38 - D38 - F38 - J38 - N38))</f>
        <v>0</v>
      </c>
      <c r="H38" s="24">
        <f>MAX(0, H37 - G38)</f>
        <v>0</v>
      </c>
      <c r="I38" s="23">
        <f>IF(B38 &gt;= (H37+L37)*Inputs!$C$28, TRUE, FALSE)</f>
        <v>0</v>
      </c>
      <c r="J38" s="25">
        <f>IF(AND(E38=TRUE, A38&lt;=Inputs!$C$20), MIN(L37*Inputs!$D$15/12, MAX(0, C38 - D38 - F38)), 0)</f>
        <v>0</v>
      </c>
      <c r="K38" s="25">
        <f>IF(H38=0, MIN(L37, MAX(0, C38 - D38 - F38 - J38 - N38 - G38)), 0)</f>
        <v>0</v>
      </c>
      <c r="L38" s="25">
        <f>MAX(0, L37 - K38)</f>
        <v>0</v>
      </c>
      <c r="M38" s="23">
        <f>IF(B38 &gt;= (H37+L37+P37)*Inputs!$C$29, TRUE, FALSE)</f>
        <v>0</v>
      </c>
      <c r="N38" s="26">
        <f>IF(AND(I38=TRUE, A38&lt;=Inputs!$C$20), MIN(P37*Inputs!$D$16/12, MAX(0, C38 - D38 - F38 - J38)), 0)</f>
        <v>0</v>
      </c>
      <c r="O38" s="26">
        <f>IF(AND(H38=0, L38=0), MIN(P37, MAX(0, C38 - D38 - F38 - J38 - N38 - G38 - K38)), 0)</f>
        <v>0</v>
      </c>
      <c r="P38" s="26">
        <f>MAX(0, P37 - O38)</f>
        <v>0</v>
      </c>
      <c r="Q38" s="16">
        <f>IF(AND(E38=TRUE, I38=TRUE, M38=TRUE, A38&lt;=Inputs!$C$20), R38, 0)</f>
        <v>0</v>
      </c>
      <c r="R38" s="16">
        <f>MAX(0, C38 - D38 - F38 - J38 - N38 - G38 - K38 - O38)</f>
        <v>0</v>
      </c>
      <c r="S38" s="27">
        <f>IF(ABS(D38+(F38+J38+N38)+(G38+K38+O38)+R38-C38)&lt;1, "OK", "ERR")</f>
        <v>0</v>
      </c>
      <c r="T38" s="28">
        <f>EDATE($T$2, A38)</f>
        <v>0</v>
      </c>
      <c r="U38" s="16">
        <f>F38+G38</f>
        <v>0</v>
      </c>
      <c r="V38" s="16">
        <f>J38+K38</f>
        <v>0</v>
      </c>
      <c r="W38" s="16">
        <f>N38+O38</f>
        <v>0</v>
      </c>
    </row>
    <row r="39" spans="1:23">
      <c r="A39">
        <v>37</v>
      </c>
      <c r="B39" s="16">
        <f>'Asset Side'!B38</f>
        <v>0</v>
      </c>
      <c r="C39" s="16">
        <f>'Asset Side'!J39+'Asset Side'!K39</f>
        <v>0</v>
      </c>
      <c r="D39" s="16">
        <f>MIN(C39, B38*Inputs!$C$21/12)</f>
        <v>0</v>
      </c>
      <c r="E39" s="23">
        <f>IF(AND(B39 &gt;= H38*Inputs!$C$27, Inputs!$C$31&lt;&gt;"Yes"), TRUE, FALSE)</f>
        <v>0</v>
      </c>
      <c r="F39" s="24">
        <f>MIN(H38*Inputs!$D$14/12, MAX(0, C39 - D39))</f>
        <v>0</v>
      </c>
      <c r="G39" s="24">
        <f>MIN(H38, MAX(0, C39 - D39 - F39 - J39 - N39))</f>
        <v>0</v>
      </c>
      <c r="H39" s="24">
        <f>MAX(0, H38 - G39)</f>
        <v>0</v>
      </c>
      <c r="I39" s="23">
        <f>IF(B39 &gt;= (H38+L38)*Inputs!$C$28, TRUE, FALSE)</f>
        <v>0</v>
      </c>
      <c r="J39" s="25">
        <f>IF(AND(E39=TRUE, A39&lt;=Inputs!$C$20), MIN(L38*Inputs!$D$15/12, MAX(0, C39 - D39 - F39)), 0)</f>
        <v>0</v>
      </c>
      <c r="K39" s="25">
        <f>IF(H39=0, MIN(L38, MAX(0, C39 - D39 - F39 - J39 - N39 - G39)), 0)</f>
        <v>0</v>
      </c>
      <c r="L39" s="25">
        <f>MAX(0, L38 - K39)</f>
        <v>0</v>
      </c>
      <c r="M39" s="23">
        <f>IF(B39 &gt;= (H38+L38+P38)*Inputs!$C$29, TRUE, FALSE)</f>
        <v>0</v>
      </c>
      <c r="N39" s="26">
        <f>IF(AND(I39=TRUE, A39&lt;=Inputs!$C$20), MIN(P38*Inputs!$D$16/12, MAX(0, C39 - D39 - F39 - J39)), 0)</f>
        <v>0</v>
      </c>
      <c r="O39" s="26">
        <f>IF(AND(H39=0, L39=0), MIN(P38, MAX(0, C39 - D39 - F39 - J39 - N39 - G39 - K39)), 0)</f>
        <v>0</v>
      </c>
      <c r="P39" s="26">
        <f>MAX(0, P38 - O39)</f>
        <v>0</v>
      </c>
      <c r="Q39" s="16">
        <f>IF(AND(E39=TRUE, I39=TRUE, M39=TRUE, A39&lt;=Inputs!$C$20), R39, 0)</f>
        <v>0</v>
      </c>
      <c r="R39" s="16">
        <f>MAX(0, C39 - D39 - F39 - J39 - N39 - G39 - K39 - O39)</f>
        <v>0</v>
      </c>
      <c r="S39" s="27">
        <f>IF(ABS(D39+(F39+J39+N39)+(G39+K39+O39)+R39-C39)&lt;1, "OK", "ERR")</f>
        <v>0</v>
      </c>
      <c r="T39" s="28">
        <f>EDATE($T$2, A39)</f>
        <v>0</v>
      </c>
      <c r="U39" s="16">
        <f>F39+G39</f>
        <v>0</v>
      </c>
      <c r="V39" s="16">
        <f>J39+K39</f>
        <v>0</v>
      </c>
      <c r="W39" s="16">
        <f>N39+O39</f>
        <v>0</v>
      </c>
    </row>
    <row r="40" spans="1:23">
      <c r="A40">
        <v>38</v>
      </c>
      <c r="B40" s="16">
        <f>'Asset Side'!B39</f>
        <v>0</v>
      </c>
      <c r="C40" s="16">
        <f>'Asset Side'!J40+'Asset Side'!K40</f>
        <v>0</v>
      </c>
      <c r="D40" s="16">
        <f>MIN(C40, B39*Inputs!$C$21/12)</f>
        <v>0</v>
      </c>
      <c r="E40" s="23">
        <f>IF(AND(B40 &gt;= H39*Inputs!$C$27, Inputs!$C$31&lt;&gt;"Yes"), TRUE, FALSE)</f>
        <v>0</v>
      </c>
      <c r="F40" s="24">
        <f>MIN(H39*Inputs!$D$14/12, MAX(0, C40 - D40))</f>
        <v>0</v>
      </c>
      <c r="G40" s="24">
        <f>MIN(H39, MAX(0, C40 - D40 - F40 - J40 - N40))</f>
        <v>0</v>
      </c>
      <c r="H40" s="24">
        <f>MAX(0, H39 - G40)</f>
        <v>0</v>
      </c>
      <c r="I40" s="23">
        <f>IF(B40 &gt;= (H39+L39)*Inputs!$C$28, TRUE, FALSE)</f>
        <v>0</v>
      </c>
      <c r="J40" s="25">
        <f>IF(AND(E40=TRUE, A40&lt;=Inputs!$C$20), MIN(L39*Inputs!$D$15/12, MAX(0, C40 - D40 - F40)), 0)</f>
        <v>0</v>
      </c>
      <c r="K40" s="25">
        <f>IF(H40=0, MIN(L39, MAX(0, C40 - D40 - F40 - J40 - N40 - G40)), 0)</f>
        <v>0</v>
      </c>
      <c r="L40" s="25">
        <f>MAX(0, L39 - K40)</f>
        <v>0</v>
      </c>
      <c r="M40" s="23">
        <f>IF(B40 &gt;= (H39+L39+P39)*Inputs!$C$29, TRUE, FALSE)</f>
        <v>0</v>
      </c>
      <c r="N40" s="26">
        <f>IF(AND(I40=TRUE, A40&lt;=Inputs!$C$20), MIN(P39*Inputs!$D$16/12, MAX(0, C40 - D40 - F40 - J40)), 0)</f>
        <v>0</v>
      </c>
      <c r="O40" s="26">
        <f>IF(AND(H40=0, L40=0), MIN(P39, MAX(0, C40 - D40 - F40 - J40 - N40 - G40 - K40)), 0)</f>
        <v>0</v>
      </c>
      <c r="P40" s="26">
        <f>MAX(0, P39 - O40)</f>
        <v>0</v>
      </c>
      <c r="Q40" s="16">
        <f>IF(AND(E40=TRUE, I40=TRUE, M40=TRUE, A40&lt;=Inputs!$C$20), R40, 0)</f>
        <v>0</v>
      </c>
      <c r="R40" s="16">
        <f>MAX(0, C40 - D40 - F40 - J40 - N40 - G40 - K40 - O40)</f>
        <v>0</v>
      </c>
      <c r="S40" s="27">
        <f>IF(ABS(D40+(F40+J40+N40)+(G40+K40+O40)+R40-C40)&lt;1, "OK", "ERR")</f>
        <v>0</v>
      </c>
      <c r="T40" s="28">
        <f>EDATE($T$2, A40)</f>
        <v>0</v>
      </c>
      <c r="U40" s="16">
        <f>F40+G40</f>
        <v>0</v>
      </c>
      <c r="V40" s="16">
        <f>J40+K40</f>
        <v>0</v>
      </c>
      <c r="W40" s="16">
        <f>N40+O40</f>
        <v>0</v>
      </c>
    </row>
    <row r="41" spans="1:23">
      <c r="A41">
        <v>39</v>
      </c>
      <c r="B41" s="16">
        <f>'Asset Side'!B40</f>
        <v>0</v>
      </c>
      <c r="C41" s="16">
        <f>'Asset Side'!J41+'Asset Side'!K41</f>
        <v>0</v>
      </c>
      <c r="D41" s="16">
        <f>MIN(C41, B40*Inputs!$C$21/12)</f>
        <v>0</v>
      </c>
      <c r="E41" s="23">
        <f>IF(AND(B41 &gt;= H40*Inputs!$C$27, Inputs!$C$31&lt;&gt;"Yes"), TRUE, FALSE)</f>
        <v>0</v>
      </c>
      <c r="F41" s="24">
        <f>MIN(H40*Inputs!$D$14/12, MAX(0, C41 - D41))</f>
        <v>0</v>
      </c>
      <c r="G41" s="24">
        <f>MIN(H40, MAX(0, C41 - D41 - F41 - J41 - N41))</f>
        <v>0</v>
      </c>
      <c r="H41" s="24">
        <f>MAX(0, H40 - G41)</f>
        <v>0</v>
      </c>
      <c r="I41" s="23">
        <f>IF(B41 &gt;= (H40+L40)*Inputs!$C$28, TRUE, FALSE)</f>
        <v>0</v>
      </c>
      <c r="J41" s="25">
        <f>IF(AND(E41=TRUE, A41&lt;=Inputs!$C$20), MIN(L40*Inputs!$D$15/12, MAX(0, C41 - D41 - F41)), 0)</f>
        <v>0</v>
      </c>
      <c r="K41" s="25">
        <f>IF(H41=0, MIN(L40, MAX(0, C41 - D41 - F41 - J41 - N41 - G41)), 0)</f>
        <v>0</v>
      </c>
      <c r="L41" s="25">
        <f>MAX(0, L40 - K41)</f>
        <v>0</v>
      </c>
      <c r="M41" s="23">
        <f>IF(B41 &gt;= (H40+L40+P40)*Inputs!$C$29, TRUE, FALSE)</f>
        <v>0</v>
      </c>
      <c r="N41" s="26">
        <f>IF(AND(I41=TRUE, A41&lt;=Inputs!$C$20), MIN(P40*Inputs!$D$16/12, MAX(0, C41 - D41 - F41 - J41)), 0)</f>
        <v>0</v>
      </c>
      <c r="O41" s="26">
        <f>IF(AND(H41=0, L41=0), MIN(P40, MAX(0, C41 - D41 - F41 - J41 - N41 - G41 - K41)), 0)</f>
        <v>0</v>
      </c>
      <c r="P41" s="26">
        <f>MAX(0, P40 - O41)</f>
        <v>0</v>
      </c>
      <c r="Q41" s="16">
        <f>IF(AND(E41=TRUE, I41=TRUE, M41=TRUE, A41&lt;=Inputs!$C$20), R41, 0)</f>
        <v>0</v>
      </c>
      <c r="R41" s="16">
        <f>MAX(0, C41 - D41 - F41 - J41 - N41 - G41 - K41 - O41)</f>
        <v>0</v>
      </c>
      <c r="S41" s="27">
        <f>IF(ABS(D41+(F41+J41+N41)+(G41+K41+O41)+R41-C41)&lt;1, "OK", "ERR")</f>
        <v>0</v>
      </c>
      <c r="T41" s="28">
        <f>EDATE($T$2, A41)</f>
        <v>0</v>
      </c>
      <c r="U41" s="16">
        <f>F41+G41</f>
        <v>0</v>
      </c>
      <c r="V41" s="16">
        <f>J41+K41</f>
        <v>0</v>
      </c>
      <c r="W41" s="16">
        <f>N41+O41</f>
        <v>0</v>
      </c>
    </row>
    <row r="42" spans="1:23">
      <c r="A42">
        <v>40</v>
      </c>
      <c r="B42" s="16">
        <f>'Asset Side'!B41</f>
        <v>0</v>
      </c>
      <c r="C42" s="16">
        <f>'Asset Side'!J42+'Asset Side'!K42</f>
        <v>0</v>
      </c>
      <c r="D42" s="16">
        <f>MIN(C42, B41*Inputs!$C$21/12)</f>
        <v>0</v>
      </c>
      <c r="E42" s="23">
        <f>IF(AND(B42 &gt;= H41*Inputs!$C$27, Inputs!$C$31&lt;&gt;"Yes"), TRUE, FALSE)</f>
        <v>0</v>
      </c>
      <c r="F42" s="24">
        <f>MIN(H41*Inputs!$D$14/12, MAX(0, C42 - D42))</f>
        <v>0</v>
      </c>
      <c r="G42" s="24">
        <f>MIN(H41, MAX(0, C42 - D42 - F42 - J42 - N42))</f>
        <v>0</v>
      </c>
      <c r="H42" s="24">
        <f>MAX(0, H41 - G42)</f>
        <v>0</v>
      </c>
      <c r="I42" s="23">
        <f>IF(B42 &gt;= (H41+L41)*Inputs!$C$28, TRUE, FALSE)</f>
        <v>0</v>
      </c>
      <c r="J42" s="25">
        <f>IF(AND(E42=TRUE, A42&lt;=Inputs!$C$20), MIN(L41*Inputs!$D$15/12, MAX(0, C42 - D42 - F42)), 0)</f>
        <v>0</v>
      </c>
      <c r="K42" s="25">
        <f>IF(H42=0, MIN(L41, MAX(0, C42 - D42 - F42 - J42 - N42 - G42)), 0)</f>
        <v>0</v>
      </c>
      <c r="L42" s="25">
        <f>MAX(0, L41 - K42)</f>
        <v>0</v>
      </c>
      <c r="M42" s="23">
        <f>IF(B42 &gt;= (H41+L41+P41)*Inputs!$C$29, TRUE, FALSE)</f>
        <v>0</v>
      </c>
      <c r="N42" s="26">
        <f>IF(AND(I42=TRUE, A42&lt;=Inputs!$C$20), MIN(P41*Inputs!$D$16/12, MAX(0, C42 - D42 - F42 - J42)), 0)</f>
        <v>0</v>
      </c>
      <c r="O42" s="26">
        <f>IF(AND(H42=0, L42=0), MIN(P41, MAX(0, C42 - D42 - F42 - J42 - N42 - G42 - K42)), 0)</f>
        <v>0</v>
      </c>
      <c r="P42" s="26">
        <f>MAX(0, P41 - O42)</f>
        <v>0</v>
      </c>
      <c r="Q42" s="16">
        <f>IF(AND(E42=TRUE, I42=TRUE, M42=TRUE, A42&lt;=Inputs!$C$20), R42, 0)</f>
        <v>0</v>
      </c>
      <c r="R42" s="16">
        <f>MAX(0, C42 - D42 - F42 - J42 - N42 - G42 - K42 - O42)</f>
        <v>0</v>
      </c>
      <c r="S42" s="27">
        <f>IF(ABS(D42+(F42+J42+N42)+(G42+K42+O42)+R42-C42)&lt;1, "OK", "ERR")</f>
        <v>0</v>
      </c>
      <c r="T42" s="28">
        <f>EDATE($T$2, A42)</f>
        <v>0</v>
      </c>
      <c r="U42" s="16">
        <f>F42+G42</f>
        <v>0</v>
      </c>
      <c r="V42" s="16">
        <f>J42+K42</f>
        <v>0</v>
      </c>
      <c r="W42" s="16">
        <f>N42+O42</f>
        <v>0</v>
      </c>
    </row>
    <row r="43" spans="1:23">
      <c r="A43">
        <v>41</v>
      </c>
      <c r="B43" s="16">
        <f>'Asset Side'!B42</f>
        <v>0</v>
      </c>
      <c r="C43" s="16">
        <f>'Asset Side'!J43+'Asset Side'!K43</f>
        <v>0</v>
      </c>
      <c r="D43" s="16">
        <f>MIN(C43, B42*Inputs!$C$21/12)</f>
        <v>0</v>
      </c>
      <c r="E43" s="23">
        <f>IF(AND(B43 &gt;= H42*Inputs!$C$27, Inputs!$C$31&lt;&gt;"Yes"), TRUE, FALSE)</f>
        <v>0</v>
      </c>
      <c r="F43" s="24">
        <f>MIN(H42*Inputs!$D$14/12, MAX(0, C43 - D43))</f>
        <v>0</v>
      </c>
      <c r="G43" s="24">
        <f>MIN(H42, MAX(0, C43 - D43 - F43 - J43 - N43))</f>
        <v>0</v>
      </c>
      <c r="H43" s="24">
        <f>MAX(0, H42 - G43)</f>
        <v>0</v>
      </c>
      <c r="I43" s="23">
        <f>IF(B43 &gt;= (H42+L42)*Inputs!$C$28, TRUE, FALSE)</f>
        <v>0</v>
      </c>
      <c r="J43" s="25">
        <f>IF(AND(E43=TRUE, A43&lt;=Inputs!$C$20), MIN(L42*Inputs!$D$15/12, MAX(0, C43 - D43 - F43)), 0)</f>
        <v>0</v>
      </c>
      <c r="K43" s="25">
        <f>IF(H43=0, MIN(L42, MAX(0, C43 - D43 - F43 - J43 - N43 - G43)), 0)</f>
        <v>0</v>
      </c>
      <c r="L43" s="25">
        <f>MAX(0, L42 - K43)</f>
        <v>0</v>
      </c>
      <c r="M43" s="23">
        <f>IF(B43 &gt;= (H42+L42+P42)*Inputs!$C$29, TRUE, FALSE)</f>
        <v>0</v>
      </c>
      <c r="N43" s="26">
        <f>IF(AND(I43=TRUE, A43&lt;=Inputs!$C$20), MIN(P42*Inputs!$D$16/12, MAX(0, C43 - D43 - F43 - J43)), 0)</f>
        <v>0</v>
      </c>
      <c r="O43" s="26">
        <f>IF(AND(H43=0, L43=0), MIN(P42, MAX(0, C43 - D43 - F43 - J43 - N43 - G43 - K43)), 0)</f>
        <v>0</v>
      </c>
      <c r="P43" s="26">
        <f>MAX(0, P42 - O43)</f>
        <v>0</v>
      </c>
      <c r="Q43" s="16">
        <f>IF(AND(E43=TRUE, I43=TRUE, M43=TRUE, A43&lt;=Inputs!$C$20), R43, 0)</f>
        <v>0</v>
      </c>
      <c r="R43" s="16">
        <f>MAX(0, C43 - D43 - F43 - J43 - N43 - G43 - K43 - O43)</f>
        <v>0</v>
      </c>
      <c r="S43" s="27">
        <f>IF(ABS(D43+(F43+J43+N43)+(G43+K43+O43)+R43-C43)&lt;1, "OK", "ERR")</f>
        <v>0</v>
      </c>
      <c r="T43" s="28">
        <f>EDATE($T$2, A43)</f>
        <v>0</v>
      </c>
      <c r="U43" s="16">
        <f>F43+G43</f>
        <v>0</v>
      </c>
      <c r="V43" s="16">
        <f>J43+K43</f>
        <v>0</v>
      </c>
      <c r="W43" s="16">
        <f>N43+O43</f>
        <v>0</v>
      </c>
    </row>
    <row r="44" spans="1:23">
      <c r="A44">
        <v>42</v>
      </c>
      <c r="B44" s="16">
        <f>'Asset Side'!B43</f>
        <v>0</v>
      </c>
      <c r="C44" s="16">
        <f>'Asset Side'!J44+'Asset Side'!K44</f>
        <v>0</v>
      </c>
      <c r="D44" s="16">
        <f>MIN(C44, B43*Inputs!$C$21/12)</f>
        <v>0</v>
      </c>
      <c r="E44" s="23">
        <f>IF(AND(B44 &gt;= H43*Inputs!$C$27, Inputs!$C$31&lt;&gt;"Yes"), TRUE, FALSE)</f>
        <v>0</v>
      </c>
      <c r="F44" s="24">
        <f>MIN(H43*Inputs!$D$14/12, MAX(0, C44 - D44))</f>
        <v>0</v>
      </c>
      <c r="G44" s="24">
        <f>MIN(H43, MAX(0, C44 - D44 - F44 - J44 - N44))</f>
        <v>0</v>
      </c>
      <c r="H44" s="24">
        <f>MAX(0, H43 - G44)</f>
        <v>0</v>
      </c>
      <c r="I44" s="23">
        <f>IF(B44 &gt;= (H43+L43)*Inputs!$C$28, TRUE, FALSE)</f>
        <v>0</v>
      </c>
      <c r="J44" s="25">
        <f>IF(AND(E44=TRUE, A44&lt;=Inputs!$C$20), MIN(L43*Inputs!$D$15/12, MAX(0, C44 - D44 - F44)), 0)</f>
        <v>0</v>
      </c>
      <c r="K44" s="25">
        <f>IF(H44=0, MIN(L43, MAX(0, C44 - D44 - F44 - J44 - N44 - G44)), 0)</f>
        <v>0</v>
      </c>
      <c r="L44" s="25">
        <f>MAX(0, L43 - K44)</f>
        <v>0</v>
      </c>
      <c r="M44" s="23">
        <f>IF(B44 &gt;= (H43+L43+P43)*Inputs!$C$29, TRUE, FALSE)</f>
        <v>0</v>
      </c>
      <c r="N44" s="26">
        <f>IF(AND(I44=TRUE, A44&lt;=Inputs!$C$20), MIN(P43*Inputs!$D$16/12, MAX(0, C44 - D44 - F44 - J44)), 0)</f>
        <v>0</v>
      </c>
      <c r="O44" s="26">
        <f>IF(AND(H44=0, L44=0), MIN(P43, MAX(0, C44 - D44 - F44 - J44 - N44 - G44 - K44)), 0)</f>
        <v>0</v>
      </c>
      <c r="P44" s="26">
        <f>MAX(0, P43 - O44)</f>
        <v>0</v>
      </c>
      <c r="Q44" s="16">
        <f>IF(AND(E44=TRUE, I44=TRUE, M44=TRUE, A44&lt;=Inputs!$C$20), R44, 0)</f>
        <v>0</v>
      </c>
      <c r="R44" s="16">
        <f>MAX(0, C44 - D44 - F44 - J44 - N44 - G44 - K44 - O44)</f>
        <v>0</v>
      </c>
      <c r="S44" s="27">
        <f>IF(ABS(D44+(F44+J44+N44)+(G44+K44+O44)+R44-C44)&lt;1, "OK", "ERR")</f>
        <v>0</v>
      </c>
      <c r="T44" s="28">
        <f>EDATE($T$2, A44)</f>
        <v>0</v>
      </c>
      <c r="U44" s="16">
        <f>F44+G44</f>
        <v>0</v>
      </c>
      <c r="V44" s="16">
        <f>J44+K44</f>
        <v>0</v>
      </c>
      <c r="W44" s="16">
        <f>N44+O44</f>
        <v>0</v>
      </c>
    </row>
    <row r="45" spans="1:23">
      <c r="A45">
        <v>43</v>
      </c>
      <c r="B45" s="16">
        <f>'Asset Side'!B44</f>
        <v>0</v>
      </c>
      <c r="C45" s="16">
        <f>'Asset Side'!J45+'Asset Side'!K45</f>
        <v>0</v>
      </c>
      <c r="D45" s="16">
        <f>MIN(C45, B44*Inputs!$C$21/12)</f>
        <v>0</v>
      </c>
      <c r="E45" s="23">
        <f>IF(AND(B45 &gt;= H44*Inputs!$C$27, Inputs!$C$31&lt;&gt;"Yes"), TRUE, FALSE)</f>
        <v>0</v>
      </c>
      <c r="F45" s="24">
        <f>MIN(H44*Inputs!$D$14/12, MAX(0, C45 - D45))</f>
        <v>0</v>
      </c>
      <c r="G45" s="24">
        <f>MIN(H44, MAX(0, C45 - D45 - F45 - J45 - N45))</f>
        <v>0</v>
      </c>
      <c r="H45" s="24">
        <f>MAX(0, H44 - G45)</f>
        <v>0</v>
      </c>
      <c r="I45" s="23">
        <f>IF(B45 &gt;= (H44+L44)*Inputs!$C$28, TRUE, FALSE)</f>
        <v>0</v>
      </c>
      <c r="J45" s="25">
        <f>IF(AND(E45=TRUE, A45&lt;=Inputs!$C$20), MIN(L44*Inputs!$D$15/12, MAX(0, C45 - D45 - F45)), 0)</f>
        <v>0</v>
      </c>
      <c r="K45" s="25">
        <f>IF(H45=0, MIN(L44, MAX(0, C45 - D45 - F45 - J45 - N45 - G45)), 0)</f>
        <v>0</v>
      </c>
      <c r="L45" s="25">
        <f>MAX(0, L44 - K45)</f>
        <v>0</v>
      </c>
      <c r="M45" s="23">
        <f>IF(B45 &gt;= (H44+L44+P44)*Inputs!$C$29, TRUE, FALSE)</f>
        <v>0</v>
      </c>
      <c r="N45" s="26">
        <f>IF(AND(I45=TRUE, A45&lt;=Inputs!$C$20), MIN(P44*Inputs!$D$16/12, MAX(0, C45 - D45 - F45 - J45)), 0)</f>
        <v>0</v>
      </c>
      <c r="O45" s="26">
        <f>IF(AND(H45=0, L45=0), MIN(P44, MAX(0, C45 - D45 - F45 - J45 - N45 - G45 - K45)), 0)</f>
        <v>0</v>
      </c>
      <c r="P45" s="26">
        <f>MAX(0, P44 - O45)</f>
        <v>0</v>
      </c>
      <c r="Q45" s="16">
        <f>IF(AND(E45=TRUE, I45=TRUE, M45=TRUE, A45&lt;=Inputs!$C$20), R45, 0)</f>
        <v>0</v>
      </c>
      <c r="R45" s="16">
        <f>MAX(0, C45 - D45 - F45 - J45 - N45 - G45 - K45 - O45)</f>
        <v>0</v>
      </c>
      <c r="S45" s="27">
        <f>IF(ABS(D45+(F45+J45+N45)+(G45+K45+O45)+R45-C45)&lt;1, "OK", "ERR")</f>
        <v>0</v>
      </c>
      <c r="T45" s="28">
        <f>EDATE($T$2, A45)</f>
        <v>0</v>
      </c>
      <c r="U45" s="16">
        <f>F45+G45</f>
        <v>0</v>
      </c>
      <c r="V45" s="16">
        <f>J45+K45</f>
        <v>0</v>
      </c>
      <c r="W45" s="16">
        <f>N45+O45</f>
        <v>0</v>
      </c>
    </row>
    <row r="46" spans="1:23">
      <c r="A46">
        <v>44</v>
      </c>
      <c r="B46" s="16">
        <f>'Asset Side'!B45</f>
        <v>0</v>
      </c>
      <c r="C46" s="16">
        <f>'Asset Side'!J46+'Asset Side'!K46</f>
        <v>0</v>
      </c>
      <c r="D46" s="16">
        <f>MIN(C46, B45*Inputs!$C$21/12)</f>
        <v>0</v>
      </c>
      <c r="E46" s="23">
        <f>IF(AND(B46 &gt;= H45*Inputs!$C$27, Inputs!$C$31&lt;&gt;"Yes"), TRUE, FALSE)</f>
        <v>0</v>
      </c>
      <c r="F46" s="24">
        <f>MIN(H45*Inputs!$D$14/12, MAX(0, C46 - D46))</f>
        <v>0</v>
      </c>
      <c r="G46" s="24">
        <f>MIN(H45, MAX(0, C46 - D46 - F46 - J46 - N46))</f>
        <v>0</v>
      </c>
      <c r="H46" s="24">
        <f>MAX(0, H45 - G46)</f>
        <v>0</v>
      </c>
      <c r="I46" s="23">
        <f>IF(B46 &gt;= (H45+L45)*Inputs!$C$28, TRUE, FALSE)</f>
        <v>0</v>
      </c>
      <c r="J46" s="25">
        <f>IF(AND(E46=TRUE, A46&lt;=Inputs!$C$20), MIN(L45*Inputs!$D$15/12, MAX(0, C46 - D46 - F46)), 0)</f>
        <v>0</v>
      </c>
      <c r="K46" s="25">
        <f>IF(H46=0, MIN(L45, MAX(0, C46 - D46 - F46 - J46 - N46 - G46)), 0)</f>
        <v>0</v>
      </c>
      <c r="L46" s="25">
        <f>MAX(0, L45 - K46)</f>
        <v>0</v>
      </c>
      <c r="M46" s="23">
        <f>IF(B46 &gt;= (H45+L45+P45)*Inputs!$C$29, TRUE, FALSE)</f>
        <v>0</v>
      </c>
      <c r="N46" s="26">
        <f>IF(AND(I46=TRUE, A46&lt;=Inputs!$C$20), MIN(P45*Inputs!$D$16/12, MAX(0, C46 - D46 - F46 - J46)), 0)</f>
        <v>0</v>
      </c>
      <c r="O46" s="26">
        <f>IF(AND(H46=0, L46=0), MIN(P45, MAX(0, C46 - D46 - F46 - J46 - N46 - G46 - K46)), 0)</f>
        <v>0</v>
      </c>
      <c r="P46" s="26">
        <f>MAX(0, P45 - O46)</f>
        <v>0</v>
      </c>
      <c r="Q46" s="16">
        <f>IF(AND(E46=TRUE, I46=TRUE, M46=TRUE, A46&lt;=Inputs!$C$20), R46, 0)</f>
        <v>0</v>
      </c>
      <c r="R46" s="16">
        <f>MAX(0, C46 - D46 - F46 - J46 - N46 - G46 - K46 - O46)</f>
        <v>0</v>
      </c>
      <c r="S46" s="27">
        <f>IF(ABS(D46+(F46+J46+N46)+(G46+K46+O46)+R46-C46)&lt;1, "OK", "ERR")</f>
        <v>0</v>
      </c>
      <c r="T46" s="28">
        <f>EDATE($T$2, A46)</f>
        <v>0</v>
      </c>
      <c r="U46" s="16">
        <f>F46+G46</f>
        <v>0</v>
      </c>
      <c r="V46" s="16">
        <f>J46+K46</f>
        <v>0</v>
      </c>
      <c r="W46" s="16">
        <f>N46+O46</f>
        <v>0</v>
      </c>
    </row>
    <row r="47" spans="1:23">
      <c r="A47">
        <v>45</v>
      </c>
      <c r="B47" s="16">
        <f>'Asset Side'!B46</f>
        <v>0</v>
      </c>
      <c r="C47" s="16">
        <f>'Asset Side'!J47+'Asset Side'!K47</f>
        <v>0</v>
      </c>
      <c r="D47" s="16">
        <f>MIN(C47, B46*Inputs!$C$21/12)</f>
        <v>0</v>
      </c>
      <c r="E47" s="23">
        <f>IF(AND(B47 &gt;= H46*Inputs!$C$27, Inputs!$C$31&lt;&gt;"Yes"), TRUE, FALSE)</f>
        <v>0</v>
      </c>
      <c r="F47" s="24">
        <f>MIN(H46*Inputs!$D$14/12, MAX(0, C47 - D47))</f>
        <v>0</v>
      </c>
      <c r="G47" s="24">
        <f>MIN(H46, MAX(0, C47 - D47 - F47 - J47 - N47))</f>
        <v>0</v>
      </c>
      <c r="H47" s="24">
        <f>MAX(0, H46 - G47)</f>
        <v>0</v>
      </c>
      <c r="I47" s="23">
        <f>IF(B47 &gt;= (H46+L46)*Inputs!$C$28, TRUE, FALSE)</f>
        <v>0</v>
      </c>
      <c r="J47" s="25">
        <f>IF(AND(E47=TRUE, A47&lt;=Inputs!$C$20), MIN(L46*Inputs!$D$15/12, MAX(0, C47 - D47 - F47)), 0)</f>
        <v>0</v>
      </c>
      <c r="K47" s="25">
        <f>IF(H47=0, MIN(L46, MAX(0, C47 - D47 - F47 - J47 - N47 - G47)), 0)</f>
        <v>0</v>
      </c>
      <c r="L47" s="25">
        <f>MAX(0, L46 - K47)</f>
        <v>0</v>
      </c>
      <c r="M47" s="23">
        <f>IF(B47 &gt;= (H46+L46+P46)*Inputs!$C$29, TRUE, FALSE)</f>
        <v>0</v>
      </c>
      <c r="N47" s="26">
        <f>IF(AND(I47=TRUE, A47&lt;=Inputs!$C$20), MIN(P46*Inputs!$D$16/12, MAX(0, C47 - D47 - F47 - J47)), 0)</f>
        <v>0</v>
      </c>
      <c r="O47" s="26">
        <f>IF(AND(H47=0, L47=0), MIN(P46, MAX(0, C47 - D47 - F47 - J47 - N47 - G47 - K47)), 0)</f>
        <v>0</v>
      </c>
      <c r="P47" s="26">
        <f>MAX(0, P46 - O47)</f>
        <v>0</v>
      </c>
      <c r="Q47" s="16">
        <f>IF(AND(E47=TRUE, I47=TRUE, M47=TRUE, A47&lt;=Inputs!$C$20), R47, 0)</f>
        <v>0</v>
      </c>
      <c r="R47" s="16">
        <f>MAX(0, C47 - D47 - F47 - J47 - N47 - G47 - K47 - O47)</f>
        <v>0</v>
      </c>
      <c r="S47" s="27">
        <f>IF(ABS(D47+(F47+J47+N47)+(G47+K47+O47)+R47-C47)&lt;1, "OK", "ERR")</f>
        <v>0</v>
      </c>
      <c r="T47" s="28">
        <f>EDATE($T$2, A47)</f>
        <v>0</v>
      </c>
      <c r="U47" s="16">
        <f>F47+G47</f>
        <v>0</v>
      </c>
      <c r="V47" s="16">
        <f>J47+K47</f>
        <v>0</v>
      </c>
      <c r="W47" s="16">
        <f>N47+O47</f>
        <v>0</v>
      </c>
    </row>
    <row r="48" spans="1:23">
      <c r="A48">
        <v>46</v>
      </c>
      <c r="B48" s="16">
        <f>'Asset Side'!B47</f>
        <v>0</v>
      </c>
      <c r="C48" s="16">
        <f>'Asset Side'!J48+'Asset Side'!K48</f>
        <v>0</v>
      </c>
      <c r="D48" s="16">
        <f>MIN(C48, B47*Inputs!$C$21/12)</f>
        <v>0</v>
      </c>
      <c r="E48" s="23">
        <f>IF(AND(B48 &gt;= H47*Inputs!$C$27, Inputs!$C$31&lt;&gt;"Yes"), TRUE, FALSE)</f>
        <v>0</v>
      </c>
      <c r="F48" s="24">
        <f>MIN(H47*Inputs!$D$14/12, MAX(0, C48 - D48))</f>
        <v>0</v>
      </c>
      <c r="G48" s="24">
        <f>MIN(H47, MAX(0, C48 - D48 - F48 - J48 - N48))</f>
        <v>0</v>
      </c>
      <c r="H48" s="24">
        <f>MAX(0, H47 - G48)</f>
        <v>0</v>
      </c>
      <c r="I48" s="23">
        <f>IF(B48 &gt;= (H47+L47)*Inputs!$C$28, TRUE, FALSE)</f>
        <v>0</v>
      </c>
      <c r="J48" s="25">
        <f>IF(AND(E48=TRUE, A48&lt;=Inputs!$C$20), MIN(L47*Inputs!$D$15/12, MAX(0, C48 - D48 - F48)), 0)</f>
        <v>0</v>
      </c>
      <c r="K48" s="25">
        <f>IF(H48=0, MIN(L47, MAX(0, C48 - D48 - F48 - J48 - N48 - G48)), 0)</f>
        <v>0</v>
      </c>
      <c r="L48" s="25">
        <f>MAX(0, L47 - K48)</f>
        <v>0</v>
      </c>
      <c r="M48" s="23">
        <f>IF(B48 &gt;= (H47+L47+P47)*Inputs!$C$29, TRUE, FALSE)</f>
        <v>0</v>
      </c>
      <c r="N48" s="26">
        <f>IF(AND(I48=TRUE, A48&lt;=Inputs!$C$20), MIN(P47*Inputs!$D$16/12, MAX(0, C48 - D48 - F48 - J48)), 0)</f>
        <v>0</v>
      </c>
      <c r="O48" s="26">
        <f>IF(AND(H48=0, L48=0), MIN(P47, MAX(0, C48 - D48 - F48 - J48 - N48 - G48 - K48)), 0)</f>
        <v>0</v>
      </c>
      <c r="P48" s="26">
        <f>MAX(0, P47 - O48)</f>
        <v>0</v>
      </c>
      <c r="Q48" s="16">
        <f>IF(AND(E48=TRUE, I48=TRUE, M48=TRUE, A48&lt;=Inputs!$C$20), R48, 0)</f>
        <v>0</v>
      </c>
      <c r="R48" s="16">
        <f>MAX(0, C48 - D48 - F48 - J48 - N48 - G48 - K48 - O48)</f>
        <v>0</v>
      </c>
      <c r="S48" s="27">
        <f>IF(ABS(D48+(F48+J48+N48)+(G48+K48+O48)+R48-C48)&lt;1, "OK", "ERR")</f>
        <v>0</v>
      </c>
      <c r="T48" s="28">
        <f>EDATE($T$2, A48)</f>
        <v>0</v>
      </c>
      <c r="U48" s="16">
        <f>F48+G48</f>
        <v>0</v>
      </c>
      <c r="V48" s="16">
        <f>J48+K48</f>
        <v>0</v>
      </c>
      <c r="W48" s="16">
        <f>N48+O48</f>
        <v>0</v>
      </c>
    </row>
    <row r="49" spans="1:23">
      <c r="A49">
        <v>47</v>
      </c>
      <c r="B49" s="16">
        <f>'Asset Side'!B48</f>
        <v>0</v>
      </c>
      <c r="C49" s="16">
        <f>'Asset Side'!J49+'Asset Side'!K49</f>
        <v>0</v>
      </c>
      <c r="D49" s="16">
        <f>MIN(C49, B48*Inputs!$C$21/12)</f>
        <v>0</v>
      </c>
      <c r="E49" s="23">
        <f>IF(AND(B49 &gt;= H48*Inputs!$C$27, Inputs!$C$31&lt;&gt;"Yes"), TRUE, FALSE)</f>
        <v>0</v>
      </c>
      <c r="F49" s="24">
        <f>MIN(H48*Inputs!$D$14/12, MAX(0, C49 - D49))</f>
        <v>0</v>
      </c>
      <c r="G49" s="24">
        <f>MIN(H48, MAX(0, C49 - D49 - F49 - J49 - N49))</f>
        <v>0</v>
      </c>
      <c r="H49" s="24">
        <f>MAX(0, H48 - G49)</f>
        <v>0</v>
      </c>
      <c r="I49" s="23">
        <f>IF(B49 &gt;= (H48+L48)*Inputs!$C$28, TRUE, FALSE)</f>
        <v>0</v>
      </c>
      <c r="J49" s="25">
        <f>IF(AND(E49=TRUE, A49&lt;=Inputs!$C$20), MIN(L48*Inputs!$D$15/12, MAX(0, C49 - D49 - F49)), 0)</f>
        <v>0</v>
      </c>
      <c r="K49" s="25">
        <f>IF(H49=0, MIN(L48, MAX(0, C49 - D49 - F49 - J49 - N49 - G49)), 0)</f>
        <v>0</v>
      </c>
      <c r="L49" s="25">
        <f>MAX(0, L48 - K49)</f>
        <v>0</v>
      </c>
      <c r="M49" s="23">
        <f>IF(B49 &gt;= (H48+L48+P48)*Inputs!$C$29, TRUE, FALSE)</f>
        <v>0</v>
      </c>
      <c r="N49" s="26">
        <f>IF(AND(I49=TRUE, A49&lt;=Inputs!$C$20), MIN(P48*Inputs!$D$16/12, MAX(0, C49 - D49 - F49 - J49)), 0)</f>
        <v>0</v>
      </c>
      <c r="O49" s="26">
        <f>IF(AND(H49=0, L49=0), MIN(P48, MAX(0, C49 - D49 - F49 - J49 - N49 - G49 - K49)), 0)</f>
        <v>0</v>
      </c>
      <c r="P49" s="26">
        <f>MAX(0, P48 - O49)</f>
        <v>0</v>
      </c>
      <c r="Q49" s="16">
        <f>IF(AND(E49=TRUE, I49=TRUE, M49=TRUE, A49&lt;=Inputs!$C$20), R49, 0)</f>
        <v>0</v>
      </c>
      <c r="R49" s="16">
        <f>MAX(0, C49 - D49 - F49 - J49 - N49 - G49 - K49 - O49)</f>
        <v>0</v>
      </c>
      <c r="S49" s="27">
        <f>IF(ABS(D49+(F49+J49+N49)+(G49+K49+O49)+R49-C49)&lt;1, "OK", "ERR")</f>
        <v>0</v>
      </c>
      <c r="T49" s="28">
        <f>EDATE($T$2, A49)</f>
        <v>0</v>
      </c>
      <c r="U49" s="16">
        <f>F49+G49</f>
        <v>0</v>
      </c>
      <c r="V49" s="16">
        <f>J49+K49</f>
        <v>0</v>
      </c>
      <c r="W49" s="16">
        <f>N49+O49</f>
        <v>0</v>
      </c>
    </row>
    <row r="50" spans="1:23">
      <c r="A50">
        <v>48</v>
      </c>
      <c r="B50" s="16">
        <f>'Asset Side'!B49</f>
        <v>0</v>
      </c>
      <c r="C50" s="16">
        <f>'Asset Side'!J50+'Asset Side'!K50</f>
        <v>0</v>
      </c>
      <c r="D50" s="16">
        <f>MIN(C50, B49*Inputs!$C$21/12)</f>
        <v>0</v>
      </c>
      <c r="E50" s="23">
        <f>IF(AND(B50 &gt;= H49*Inputs!$C$27, Inputs!$C$31&lt;&gt;"Yes"), TRUE, FALSE)</f>
        <v>0</v>
      </c>
      <c r="F50" s="24">
        <f>MIN(H49*Inputs!$D$14/12, MAX(0, C50 - D50))</f>
        <v>0</v>
      </c>
      <c r="G50" s="24">
        <f>MIN(H49, MAX(0, C50 - D50 - F50 - J50 - N50))</f>
        <v>0</v>
      </c>
      <c r="H50" s="24">
        <f>MAX(0, H49 - G50)</f>
        <v>0</v>
      </c>
      <c r="I50" s="23">
        <f>IF(B50 &gt;= (H49+L49)*Inputs!$C$28, TRUE, FALSE)</f>
        <v>0</v>
      </c>
      <c r="J50" s="25">
        <f>IF(AND(E50=TRUE, A50&lt;=Inputs!$C$20), MIN(L49*Inputs!$D$15/12, MAX(0, C50 - D50 - F50)), 0)</f>
        <v>0</v>
      </c>
      <c r="K50" s="25">
        <f>IF(H50=0, MIN(L49, MAX(0, C50 - D50 - F50 - J50 - N50 - G50)), 0)</f>
        <v>0</v>
      </c>
      <c r="L50" s="25">
        <f>MAX(0, L49 - K50)</f>
        <v>0</v>
      </c>
      <c r="M50" s="23">
        <f>IF(B50 &gt;= (H49+L49+P49)*Inputs!$C$29, TRUE, FALSE)</f>
        <v>0</v>
      </c>
      <c r="N50" s="26">
        <f>IF(AND(I50=TRUE, A50&lt;=Inputs!$C$20), MIN(P49*Inputs!$D$16/12, MAX(0, C50 - D50 - F50 - J50)), 0)</f>
        <v>0</v>
      </c>
      <c r="O50" s="26">
        <f>IF(AND(H50=0, L50=0), MIN(P49, MAX(0, C50 - D50 - F50 - J50 - N50 - G50 - K50)), 0)</f>
        <v>0</v>
      </c>
      <c r="P50" s="26">
        <f>MAX(0, P49 - O50)</f>
        <v>0</v>
      </c>
      <c r="Q50" s="16">
        <f>IF(AND(E50=TRUE, I50=TRUE, M50=TRUE, A50&lt;=Inputs!$C$20), R50, 0)</f>
        <v>0</v>
      </c>
      <c r="R50" s="16">
        <f>MAX(0, C50 - D50 - F50 - J50 - N50 - G50 - K50 - O50)</f>
        <v>0</v>
      </c>
      <c r="S50" s="27">
        <f>IF(ABS(D50+(F50+J50+N50)+(G50+K50+O50)+R50-C50)&lt;1, "OK", "ERR")</f>
        <v>0</v>
      </c>
      <c r="T50" s="28">
        <f>EDATE($T$2, A50)</f>
        <v>0</v>
      </c>
      <c r="U50" s="16">
        <f>F50+G50</f>
        <v>0</v>
      </c>
      <c r="V50" s="16">
        <f>J50+K50</f>
        <v>0</v>
      </c>
      <c r="W50" s="16">
        <f>N50+O50</f>
        <v>0</v>
      </c>
    </row>
    <row r="51" spans="1:23">
      <c r="A51">
        <v>49</v>
      </c>
      <c r="B51" s="16">
        <f>'Asset Side'!B50</f>
        <v>0</v>
      </c>
      <c r="C51" s="16">
        <f>'Asset Side'!J51+'Asset Side'!K51</f>
        <v>0</v>
      </c>
      <c r="D51" s="16">
        <f>MIN(C51, B50*Inputs!$C$21/12)</f>
        <v>0</v>
      </c>
      <c r="E51" s="23">
        <f>IF(AND(B51 &gt;= H50*Inputs!$C$27, Inputs!$C$31&lt;&gt;"Yes"), TRUE, FALSE)</f>
        <v>0</v>
      </c>
      <c r="F51" s="24">
        <f>MIN(H50*Inputs!$D$14/12, MAX(0, C51 - D51))</f>
        <v>0</v>
      </c>
      <c r="G51" s="24">
        <f>MIN(H50, MAX(0, C51 - D51 - F51 - J51 - N51))</f>
        <v>0</v>
      </c>
      <c r="H51" s="24">
        <f>MAX(0, H50 - G51)</f>
        <v>0</v>
      </c>
      <c r="I51" s="23">
        <f>IF(B51 &gt;= (H50+L50)*Inputs!$C$28, TRUE, FALSE)</f>
        <v>0</v>
      </c>
      <c r="J51" s="25">
        <f>IF(AND(E51=TRUE, A51&lt;=Inputs!$C$20), MIN(L50*Inputs!$D$15/12, MAX(0, C51 - D51 - F51)), 0)</f>
        <v>0</v>
      </c>
      <c r="K51" s="25">
        <f>IF(H51=0, MIN(L50, MAX(0, C51 - D51 - F51 - J51 - N51 - G51)), 0)</f>
        <v>0</v>
      </c>
      <c r="L51" s="25">
        <f>MAX(0, L50 - K51)</f>
        <v>0</v>
      </c>
      <c r="M51" s="23">
        <f>IF(B51 &gt;= (H50+L50+P50)*Inputs!$C$29, TRUE, FALSE)</f>
        <v>0</v>
      </c>
      <c r="N51" s="26">
        <f>IF(AND(I51=TRUE, A51&lt;=Inputs!$C$20), MIN(P50*Inputs!$D$16/12, MAX(0, C51 - D51 - F51 - J51)), 0)</f>
        <v>0</v>
      </c>
      <c r="O51" s="26">
        <f>IF(AND(H51=0, L51=0), MIN(P50, MAX(0, C51 - D51 - F51 - J51 - N51 - G51 - K51)), 0)</f>
        <v>0</v>
      </c>
      <c r="P51" s="26">
        <f>MAX(0, P50 - O51)</f>
        <v>0</v>
      </c>
      <c r="Q51" s="16">
        <f>IF(AND(E51=TRUE, I51=TRUE, M51=TRUE, A51&lt;=Inputs!$C$20), R51, 0)</f>
        <v>0</v>
      </c>
      <c r="R51" s="16">
        <f>MAX(0, C51 - D51 - F51 - J51 - N51 - G51 - K51 - O51)</f>
        <v>0</v>
      </c>
      <c r="S51" s="27">
        <f>IF(ABS(D51+(F51+J51+N51)+(G51+K51+O51)+R51-C51)&lt;1, "OK", "ERR")</f>
        <v>0</v>
      </c>
      <c r="T51" s="28">
        <f>EDATE($T$2, A51)</f>
        <v>0</v>
      </c>
      <c r="U51" s="16">
        <f>F51+G51</f>
        <v>0</v>
      </c>
      <c r="V51" s="16">
        <f>J51+K51</f>
        <v>0</v>
      </c>
      <c r="W51" s="16">
        <f>N51+O51</f>
        <v>0</v>
      </c>
    </row>
    <row r="52" spans="1:23">
      <c r="A52">
        <v>50</v>
      </c>
      <c r="B52" s="16">
        <f>'Asset Side'!B51</f>
        <v>0</v>
      </c>
      <c r="C52" s="16">
        <f>'Asset Side'!J52+'Asset Side'!K52</f>
        <v>0</v>
      </c>
      <c r="D52" s="16">
        <f>MIN(C52, B51*Inputs!$C$21/12)</f>
        <v>0</v>
      </c>
      <c r="E52" s="23">
        <f>IF(AND(B52 &gt;= H51*Inputs!$C$27, Inputs!$C$31&lt;&gt;"Yes"), TRUE, FALSE)</f>
        <v>0</v>
      </c>
      <c r="F52" s="24">
        <f>MIN(H51*Inputs!$D$14/12, MAX(0, C52 - D52))</f>
        <v>0</v>
      </c>
      <c r="G52" s="24">
        <f>MIN(H51, MAX(0, C52 - D52 - F52 - J52 - N52))</f>
        <v>0</v>
      </c>
      <c r="H52" s="24">
        <f>MAX(0, H51 - G52)</f>
        <v>0</v>
      </c>
      <c r="I52" s="23">
        <f>IF(B52 &gt;= (H51+L51)*Inputs!$C$28, TRUE, FALSE)</f>
        <v>0</v>
      </c>
      <c r="J52" s="25">
        <f>IF(AND(E52=TRUE, A52&lt;=Inputs!$C$20), MIN(L51*Inputs!$D$15/12, MAX(0, C52 - D52 - F52)), 0)</f>
        <v>0</v>
      </c>
      <c r="K52" s="25">
        <f>IF(H52=0, MIN(L51, MAX(0, C52 - D52 - F52 - J52 - N52 - G52)), 0)</f>
        <v>0</v>
      </c>
      <c r="L52" s="25">
        <f>MAX(0, L51 - K52)</f>
        <v>0</v>
      </c>
      <c r="M52" s="23">
        <f>IF(B52 &gt;= (H51+L51+P51)*Inputs!$C$29, TRUE, FALSE)</f>
        <v>0</v>
      </c>
      <c r="N52" s="26">
        <f>IF(AND(I52=TRUE, A52&lt;=Inputs!$C$20), MIN(P51*Inputs!$D$16/12, MAX(0, C52 - D52 - F52 - J52)), 0)</f>
        <v>0</v>
      </c>
      <c r="O52" s="26">
        <f>IF(AND(H52=0, L52=0), MIN(P51, MAX(0, C52 - D52 - F52 - J52 - N52 - G52 - K52)), 0)</f>
        <v>0</v>
      </c>
      <c r="P52" s="26">
        <f>MAX(0, P51 - O52)</f>
        <v>0</v>
      </c>
      <c r="Q52" s="16">
        <f>IF(AND(E52=TRUE, I52=TRUE, M52=TRUE, A52&lt;=Inputs!$C$20), R52, 0)</f>
        <v>0</v>
      </c>
      <c r="R52" s="16">
        <f>MAX(0, C52 - D52 - F52 - J52 - N52 - G52 - K52 - O52)</f>
        <v>0</v>
      </c>
      <c r="S52" s="27">
        <f>IF(ABS(D52+(F52+J52+N52)+(G52+K52+O52)+R52-C52)&lt;1, "OK", "ERR")</f>
        <v>0</v>
      </c>
      <c r="T52" s="28">
        <f>EDATE($T$2, A52)</f>
        <v>0</v>
      </c>
      <c r="U52" s="16">
        <f>F52+G52</f>
        <v>0</v>
      </c>
      <c r="V52" s="16">
        <f>J52+K52</f>
        <v>0</v>
      </c>
      <c r="W52" s="16">
        <f>N52+O52</f>
        <v>0</v>
      </c>
    </row>
    <row r="53" spans="1:23">
      <c r="A53">
        <v>51</v>
      </c>
      <c r="B53" s="16">
        <f>'Asset Side'!B52</f>
        <v>0</v>
      </c>
      <c r="C53" s="16">
        <f>'Asset Side'!J53+'Asset Side'!K53</f>
        <v>0</v>
      </c>
      <c r="D53" s="16">
        <f>MIN(C53, B52*Inputs!$C$21/12)</f>
        <v>0</v>
      </c>
      <c r="E53" s="23">
        <f>IF(AND(B53 &gt;= H52*Inputs!$C$27, Inputs!$C$31&lt;&gt;"Yes"), TRUE, FALSE)</f>
        <v>0</v>
      </c>
      <c r="F53" s="24">
        <f>MIN(H52*Inputs!$D$14/12, MAX(0, C53 - D53))</f>
        <v>0</v>
      </c>
      <c r="G53" s="24">
        <f>MIN(H52, MAX(0, C53 - D53 - F53 - J53 - N53))</f>
        <v>0</v>
      </c>
      <c r="H53" s="24">
        <f>MAX(0, H52 - G53)</f>
        <v>0</v>
      </c>
      <c r="I53" s="23">
        <f>IF(B53 &gt;= (H52+L52)*Inputs!$C$28, TRUE, FALSE)</f>
        <v>0</v>
      </c>
      <c r="J53" s="25">
        <f>IF(AND(E53=TRUE, A53&lt;=Inputs!$C$20), MIN(L52*Inputs!$D$15/12, MAX(0, C53 - D53 - F53)), 0)</f>
        <v>0</v>
      </c>
      <c r="K53" s="25">
        <f>IF(H53=0, MIN(L52, MAX(0, C53 - D53 - F53 - J53 - N53 - G53)), 0)</f>
        <v>0</v>
      </c>
      <c r="L53" s="25">
        <f>MAX(0, L52 - K53)</f>
        <v>0</v>
      </c>
      <c r="M53" s="23">
        <f>IF(B53 &gt;= (H52+L52+P52)*Inputs!$C$29, TRUE, FALSE)</f>
        <v>0</v>
      </c>
      <c r="N53" s="26">
        <f>IF(AND(I53=TRUE, A53&lt;=Inputs!$C$20), MIN(P52*Inputs!$D$16/12, MAX(0, C53 - D53 - F53 - J53)), 0)</f>
        <v>0</v>
      </c>
      <c r="O53" s="26">
        <f>IF(AND(H53=0, L53=0), MIN(P52, MAX(0, C53 - D53 - F53 - J53 - N53 - G53 - K53)), 0)</f>
        <v>0</v>
      </c>
      <c r="P53" s="26">
        <f>MAX(0, P52 - O53)</f>
        <v>0</v>
      </c>
      <c r="Q53" s="16">
        <f>IF(AND(E53=TRUE, I53=TRUE, M53=TRUE, A53&lt;=Inputs!$C$20), R53, 0)</f>
        <v>0</v>
      </c>
      <c r="R53" s="16">
        <f>MAX(0, C53 - D53 - F53 - J53 - N53 - G53 - K53 - O53)</f>
        <v>0</v>
      </c>
      <c r="S53" s="27">
        <f>IF(ABS(D53+(F53+J53+N53)+(G53+K53+O53)+R53-C53)&lt;1, "OK", "ERR")</f>
        <v>0</v>
      </c>
      <c r="T53" s="28">
        <f>EDATE($T$2, A53)</f>
        <v>0</v>
      </c>
      <c r="U53" s="16">
        <f>F53+G53</f>
        <v>0</v>
      </c>
      <c r="V53" s="16">
        <f>J53+K53</f>
        <v>0</v>
      </c>
      <c r="W53" s="16">
        <f>N53+O53</f>
        <v>0</v>
      </c>
    </row>
    <row r="54" spans="1:23">
      <c r="A54">
        <v>52</v>
      </c>
      <c r="B54" s="16">
        <f>'Asset Side'!B53</f>
        <v>0</v>
      </c>
      <c r="C54" s="16">
        <f>'Asset Side'!J54+'Asset Side'!K54</f>
        <v>0</v>
      </c>
      <c r="D54" s="16">
        <f>MIN(C54, B53*Inputs!$C$21/12)</f>
        <v>0</v>
      </c>
      <c r="E54" s="23">
        <f>IF(AND(B54 &gt;= H53*Inputs!$C$27, Inputs!$C$31&lt;&gt;"Yes"), TRUE, FALSE)</f>
        <v>0</v>
      </c>
      <c r="F54" s="24">
        <f>MIN(H53*Inputs!$D$14/12, MAX(0, C54 - D54))</f>
        <v>0</v>
      </c>
      <c r="G54" s="24">
        <f>MIN(H53, MAX(0, C54 - D54 - F54 - J54 - N54))</f>
        <v>0</v>
      </c>
      <c r="H54" s="24">
        <f>MAX(0, H53 - G54)</f>
        <v>0</v>
      </c>
      <c r="I54" s="23">
        <f>IF(B54 &gt;= (H53+L53)*Inputs!$C$28, TRUE, FALSE)</f>
        <v>0</v>
      </c>
      <c r="J54" s="25">
        <f>IF(AND(E54=TRUE, A54&lt;=Inputs!$C$20), MIN(L53*Inputs!$D$15/12, MAX(0, C54 - D54 - F54)), 0)</f>
        <v>0</v>
      </c>
      <c r="K54" s="25">
        <f>IF(H54=0, MIN(L53, MAX(0, C54 - D54 - F54 - J54 - N54 - G54)), 0)</f>
        <v>0</v>
      </c>
      <c r="L54" s="25">
        <f>MAX(0, L53 - K54)</f>
        <v>0</v>
      </c>
      <c r="M54" s="23">
        <f>IF(B54 &gt;= (H53+L53+P53)*Inputs!$C$29, TRUE, FALSE)</f>
        <v>0</v>
      </c>
      <c r="N54" s="26">
        <f>IF(AND(I54=TRUE, A54&lt;=Inputs!$C$20), MIN(P53*Inputs!$D$16/12, MAX(0, C54 - D54 - F54 - J54)), 0)</f>
        <v>0</v>
      </c>
      <c r="O54" s="26">
        <f>IF(AND(H54=0, L54=0), MIN(P53, MAX(0, C54 - D54 - F54 - J54 - N54 - G54 - K54)), 0)</f>
        <v>0</v>
      </c>
      <c r="P54" s="26">
        <f>MAX(0, P53 - O54)</f>
        <v>0</v>
      </c>
      <c r="Q54" s="16">
        <f>IF(AND(E54=TRUE, I54=TRUE, M54=TRUE, A54&lt;=Inputs!$C$20), R54, 0)</f>
        <v>0</v>
      </c>
      <c r="R54" s="16">
        <f>MAX(0, C54 - D54 - F54 - J54 - N54 - G54 - K54 - O54)</f>
        <v>0</v>
      </c>
      <c r="S54" s="27">
        <f>IF(ABS(D54+(F54+J54+N54)+(G54+K54+O54)+R54-C54)&lt;1, "OK", "ERR")</f>
        <v>0</v>
      </c>
      <c r="T54" s="28">
        <f>EDATE($T$2, A54)</f>
        <v>0</v>
      </c>
      <c r="U54" s="16">
        <f>F54+G54</f>
        <v>0</v>
      </c>
      <c r="V54" s="16">
        <f>J54+K54</f>
        <v>0</v>
      </c>
      <c r="W54" s="16">
        <f>N54+O54</f>
        <v>0</v>
      </c>
    </row>
    <row r="55" spans="1:23">
      <c r="A55">
        <v>53</v>
      </c>
      <c r="B55" s="16">
        <f>'Asset Side'!B54</f>
        <v>0</v>
      </c>
      <c r="C55" s="16">
        <f>'Asset Side'!J55+'Asset Side'!K55</f>
        <v>0</v>
      </c>
      <c r="D55" s="16">
        <f>MIN(C55, B54*Inputs!$C$21/12)</f>
        <v>0</v>
      </c>
      <c r="E55" s="23">
        <f>IF(AND(B55 &gt;= H54*Inputs!$C$27, Inputs!$C$31&lt;&gt;"Yes"), TRUE, FALSE)</f>
        <v>0</v>
      </c>
      <c r="F55" s="24">
        <f>MIN(H54*Inputs!$D$14/12, MAX(0, C55 - D55))</f>
        <v>0</v>
      </c>
      <c r="G55" s="24">
        <f>MIN(H54, MAX(0, C55 - D55 - F55 - J55 - N55))</f>
        <v>0</v>
      </c>
      <c r="H55" s="24">
        <f>MAX(0, H54 - G55)</f>
        <v>0</v>
      </c>
      <c r="I55" s="23">
        <f>IF(B55 &gt;= (H54+L54)*Inputs!$C$28, TRUE, FALSE)</f>
        <v>0</v>
      </c>
      <c r="J55" s="25">
        <f>IF(AND(E55=TRUE, A55&lt;=Inputs!$C$20), MIN(L54*Inputs!$D$15/12, MAX(0, C55 - D55 - F55)), 0)</f>
        <v>0</v>
      </c>
      <c r="K55" s="25">
        <f>IF(H55=0, MIN(L54, MAX(0, C55 - D55 - F55 - J55 - N55 - G55)), 0)</f>
        <v>0</v>
      </c>
      <c r="L55" s="25">
        <f>MAX(0, L54 - K55)</f>
        <v>0</v>
      </c>
      <c r="M55" s="23">
        <f>IF(B55 &gt;= (H54+L54+P54)*Inputs!$C$29, TRUE, FALSE)</f>
        <v>0</v>
      </c>
      <c r="N55" s="26">
        <f>IF(AND(I55=TRUE, A55&lt;=Inputs!$C$20), MIN(P54*Inputs!$D$16/12, MAX(0, C55 - D55 - F55 - J55)), 0)</f>
        <v>0</v>
      </c>
      <c r="O55" s="26">
        <f>IF(AND(H55=0, L55=0), MIN(P54, MAX(0, C55 - D55 - F55 - J55 - N55 - G55 - K55)), 0)</f>
        <v>0</v>
      </c>
      <c r="P55" s="26">
        <f>MAX(0, P54 - O55)</f>
        <v>0</v>
      </c>
      <c r="Q55" s="16">
        <f>IF(AND(E55=TRUE, I55=TRUE, M55=TRUE, A55&lt;=Inputs!$C$20), R55, 0)</f>
        <v>0</v>
      </c>
      <c r="R55" s="16">
        <f>MAX(0, C55 - D55 - F55 - J55 - N55 - G55 - K55 - O55)</f>
        <v>0</v>
      </c>
      <c r="S55" s="27">
        <f>IF(ABS(D55+(F55+J55+N55)+(G55+K55+O55)+R55-C55)&lt;1, "OK", "ERR")</f>
        <v>0</v>
      </c>
      <c r="T55" s="28">
        <f>EDATE($T$2, A55)</f>
        <v>0</v>
      </c>
      <c r="U55" s="16">
        <f>F55+G55</f>
        <v>0</v>
      </c>
      <c r="V55" s="16">
        <f>J55+K55</f>
        <v>0</v>
      </c>
      <c r="W55" s="16">
        <f>N55+O55</f>
        <v>0</v>
      </c>
    </row>
    <row r="56" spans="1:23">
      <c r="A56">
        <v>54</v>
      </c>
      <c r="B56" s="16">
        <f>'Asset Side'!B55</f>
        <v>0</v>
      </c>
      <c r="C56" s="16">
        <f>'Asset Side'!J56+'Asset Side'!K56</f>
        <v>0</v>
      </c>
      <c r="D56" s="16">
        <f>MIN(C56, B55*Inputs!$C$21/12)</f>
        <v>0</v>
      </c>
      <c r="E56" s="23">
        <f>IF(AND(B56 &gt;= H55*Inputs!$C$27, Inputs!$C$31&lt;&gt;"Yes"), TRUE, FALSE)</f>
        <v>0</v>
      </c>
      <c r="F56" s="24">
        <f>MIN(H55*Inputs!$D$14/12, MAX(0, C56 - D56))</f>
        <v>0</v>
      </c>
      <c r="G56" s="24">
        <f>MIN(H55, MAX(0, C56 - D56 - F56 - J56 - N56))</f>
        <v>0</v>
      </c>
      <c r="H56" s="24">
        <f>MAX(0, H55 - G56)</f>
        <v>0</v>
      </c>
      <c r="I56" s="23">
        <f>IF(B56 &gt;= (H55+L55)*Inputs!$C$28, TRUE, FALSE)</f>
        <v>0</v>
      </c>
      <c r="J56" s="25">
        <f>IF(AND(E56=TRUE, A56&lt;=Inputs!$C$20), MIN(L55*Inputs!$D$15/12, MAX(0, C56 - D56 - F56)), 0)</f>
        <v>0</v>
      </c>
      <c r="K56" s="25">
        <f>IF(H56=0, MIN(L55, MAX(0, C56 - D56 - F56 - J56 - N56 - G56)), 0)</f>
        <v>0</v>
      </c>
      <c r="L56" s="25">
        <f>MAX(0, L55 - K56)</f>
        <v>0</v>
      </c>
      <c r="M56" s="23">
        <f>IF(B56 &gt;= (H55+L55+P55)*Inputs!$C$29, TRUE, FALSE)</f>
        <v>0</v>
      </c>
      <c r="N56" s="26">
        <f>IF(AND(I56=TRUE, A56&lt;=Inputs!$C$20), MIN(P55*Inputs!$D$16/12, MAX(0, C56 - D56 - F56 - J56)), 0)</f>
        <v>0</v>
      </c>
      <c r="O56" s="26">
        <f>IF(AND(H56=0, L56=0), MIN(P55, MAX(0, C56 - D56 - F56 - J56 - N56 - G56 - K56)), 0)</f>
        <v>0</v>
      </c>
      <c r="P56" s="26">
        <f>MAX(0, P55 - O56)</f>
        <v>0</v>
      </c>
      <c r="Q56" s="16">
        <f>IF(AND(E56=TRUE, I56=TRUE, M56=TRUE, A56&lt;=Inputs!$C$20), R56, 0)</f>
        <v>0</v>
      </c>
      <c r="R56" s="16">
        <f>MAX(0, C56 - D56 - F56 - J56 - N56 - G56 - K56 - O56)</f>
        <v>0</v>
      </c>
      <c r="S56" s="27">
        <f>IF(ABS(D56+(F56+J56+N56)+(G56+K56+O56)+R56-C56)&lt;1, "OK", "ERR")</f>
        <v>0</v>
      </c>
      <c r="T56" s="28">
        <f>EDATE($T$2, A56)</f>
        <v>0</v>
      </c>
      <c r="U56" s="16">
        <f>F56+G56</f>
        <v>0</v>
      </c>
      <c r="V56" s="16">
        <f>J56+K56</f>
        <v>0</v>
      </c>
      <c r="W56" s="16">
        <f>N56+O56</f>
        <v>0</v>
      </c>
    </row>
    <row r="57" spans="1:23">
      <c r="A57">
        <v>55</v>
      </c>
      <c r="B57" s="16">
        <f>'Asset Side'!B56</f>
        <v>0</v>
      </c>
      <c r="C57" s="16">
        <f>'Asset Side'!J57+'Asset Side'!K57</f>
        <v>0</v>
      </c>
      <c r="D57" s="16">
        <f>MIN(C57, B56*Inputs!$C$21/12)</f>
        <v>0</v>
      </c>
      <c r="E57" s="23">
        <f>IF(AND(B57 &gt;= H56*Inputs!$C$27, Inputs!$C$31&lt;&gt;"Yes"), TRUE, FALSE)</f>
        <v>0</v>
      </c>
      <c r="F57" s="24">
        <f>MIN(H56*Inputs!$D$14/12, MAX(0, C57 - D57))</f>
        <v>0</v>
      </c>
      <c r="G57" s="24">
        <f>MIN(H56, MAX(0, C57 - D57 - F57 - J57 - N57))</f>
        <v>0</v>
      </c>
      <c r="H57" s="24">
        <f>MAX(0, H56 - G57)</f>
        <v>0</v>
      </c>
      <c r="I57" s="23">
        <f>IF(B57 &gt;= (H56+L56)*Inputs!$C$28, TRUE, FALSE)</f>
        <v>0</v>
      </c>
      <c r="J57" s="25">
        <f>IF(AND(E57=TRUE, A57&lt;=Inputs!$C$20), MIN(L56*Inputs!$D$15/12, MAX(0, C57 - D57 - F57)), 0)</f>
        <v>0</v>
      </c>
      <c r="K57" s="25">
        <f>IF(H57=0, MIN(L56, MAX(0, C57 - D57 - F57 - J57 - N57 - G57)), 0)</f>
        <v>0</v>
      </c>
      <c r="L57" s="25">
        <f>MAX(0, L56 - K57)</f>
        <v>0</v>
      </c>
      <c r="M57" s="23">
        <f>IF(B57 &gt;= (H56+L56+P56)*Inputs!$C$29, TRUE, FALSE)</f>
        <v>0</v>
      </c>
      <c r="N57" s="26">
        <f>IF(AND(I57=TRUE, A57&lt;=Inputs!$C$20), MIN(P56*Inputs!$D$16/12, MAX(0, C57 - D57 - F57 - J57)), 0)</f>
        <v>0</v>
      </c>
      <c r="O57" s="26">
        <f>IF(AND(H57=0, L57=0), MIN(P56, MAX(0, C57 - D57 - F57 - J57 - N57 - G57 - K57)), 0)</f>
        <v>0</v>
      </c>
      <c r="P57" s="26">
        <f>MAX(0, P56 - O57)</f>
        <v>0</v>
      </c>
      <c r="Q57" s="16">
        <f>IF(AND(E57=TRUE, I57=TRUE, M57=TRUE, A57&lt;=Inputs!$C$20), R57, 0)</f>
        <v>0</v>
      </c>
      <c r="R57" s="16">
        <f>MAX(0, C57 - D57 - F57 - J57 - N57 - G57 - K57 - O57)</f>
        <v>0</v>
      </c>
      <c r="S57" s="27">
        <f>IF(ABS(D57+(F57+J57+N57)+(G57+K57+O57)+R57-C57)&lt;1, "OK", "ERR")</f>
        <v>0</v>
      </c>
      <c r="T57" s="28">
        <f>EDATE($T$2, A57)</f>
        <v>0</v>
      </c>
      <c r="U57" s="16">
        <f>F57+G57</f>
        <v>0</v>
      </c>
      <c r="V57" s="16">
        <f>J57+K57</f>
        <v>0</v>
      </c>
      <c r="W57" s="16">
        <f>N57+O57</f>
        <v>0</v>
      </c>
    </row>
    <row r="58" spans="1:23">
      <c r="A58">
        <v>56</v>
      </c>
      <c r="B58" s="16">
        <f>'Asset Side'!B57</f>
        <v>0</v>
      </c>
      <c r="C58" s="16">
        <f>'Asset Side'!J58+'Asset Side'!K58</f>
        <v>0</v>
      </c>
      <c r="D58" s="16">
        <f>MIN(C58, B57*Inputs!$C$21/12)</f>
        <v>0</v>
      </c>
      <c r="E58" s="23">
        <f>IF(AND(B58 &gt;= H57*Inputs!$C$27, Inputs!$C$31&lt;&gt;"Yes"), TRUE, FALSE)</f>
        <v>0</v>
      </c>
      <c r="F58" s="24">
        <f>MIN(H57*Inputs!$D$14/12, MAX(0, C58 - D58))</f>
        <v>0</v>
      </c>
      <c r="G58" s="24">
        <f>MIN(H57, MAX(0, C58 - D58 - F58 - J58 - N58))</f>
        <v>0</v>
      </c>
      <c r="H58" s="24">
        <f>MAX(0, H57 - G58)</f>
        <v>0</v>
      </c>
      <c r="I58" s="23">
        <f>IF(B58 &gt;= (H57+L57)*Inputs!$C$28, TRUE, FALSE)</f>
        <v>0</v>
      </c>
      <c r="J58" s="25">
        <f>IF(AND(E58=TRUE, A58&lt;=Inputs!$C$20), MIN(L57*Inputs!$D$15/12, MAX(0, C58 - D58 - F58)), 0)</f>
        <v>0</v>
      </c>
      <c r="K58" s="25">
        <f>IF(H58=0, MIN(L57, MAX(0, C58 - D58 - F58 - J58 - N58 - G58)), 0)</f>
        <v>0</v>
      </c>
      <c r="L58" s="25">
        <f>MAX(0, L57 - K58)</f>
        <v>0</v>
      </c>
      <c r="M58" s="23">
        <f>IF(B58 &gt;= (H57+L57+P57)*Inputs!$C$29, TRUE, FALSE)</f>
        <v>0</v>
      </c>
      <c r="N58" s="26">
        <f>IF(AND(I58=TRUE, A58&lt;=Inputs!$C$20), MIN(P57*Inputs!$D$16/12, MAX(0, C58 - D58 - F58 - J58)), 0)</f>
        <v>0</v>
      </c>
      <c r="O58" s="26">
        <f>IF(AND(H58=0, L58=0), MIN(P57, MAX(0, C58 - D58 - F58 - J58 - N58 - G58 - K58)), 0)</f>
        <v>0</v>
      </c>
      <c r="P58" s="26">
        <f>MAX(0, P57 - O58)</f>
        <v>0</v>
      </c>
      <c r="Q58" s="16">
        <f>IF(AND(E58=TRUE, I58=TRUE, M58=TRUE, A58&lt;=Inputs!$C$20), R58, 0)</f>
        <v>0</v>
      </c>
      <c r="R58" s="16">
        <f>MAX(0, C58 - D58 - F58 - J58 - N58 - G58 - K58 - O58)</f>
        <v>0</v>
      </c>
      <c r="S58" s="27">
        <f>IF(ABS(D58+(F58+J58+N58)+(G58+K58+O58)+R58-C58)&lt;1, "OK", "ERR")</f>
        <v>0</v>
      </c>
      <c r="T58" s="28">
        <f>EDATE($T$2, A58)</f>
        <v>0</v>
      </c>
      <c r="U58" s="16">
        <f>F58+G58</f>
        <v>0</v>
      </c>
      <c r="V58" s="16">
        <f>J58+K58</f>
        <v>0</v>
      </c>
      <c r="W58" s="16">
        <f>N58+O58</f>
        <v>0</v>
      </c>
    </row>
    <row r="59" spans="1:23">
      <c r="A59">
        <v>57</v>
      </c>
      <c r="B59" s="16">
        <f>'Asset Side'!B58</f>
        <v>0</v>
      </c>
      <c r="C59" s="16">
        <f>'Asset Side'!J59+'Asset Side'!K59</f>
        <v>0</v>
      </c>
      <c r="D59" s="16">
        <f>MIN(C59, B58*Inputs!$C$21/12)</f>
        <v>0</v>
      </c>
      <c r="E59" s="23">
        <f>IF(AND(B59 &gt;= H58*Inputs!$C$27, Inputs!$C$31&lt;&gt;"Yes"), TRUE, FALSE)</f>
        <v>0</v>
      </c>
      <c r="F59" s="24">
        <f>MIN(H58*Inputs!$D$14/12, MAX(0, C59 - D59))</f>
        <v>0</v>
      </c>
      <c r="G59" s="24">
        <f>MIN(H58, MAX(0, C59 - D59 - F59 - J59 - N59))</f>
        <v>0</v>
      </c>
      <c r="H59" s="24">
        <f>MAX(0, H58 - G59)</f>
        <v>0</v>
      </c>
      <c r="I59" s="23">
        <f>IF(B59 &gt;= (H58+L58)*Inputs!$C$28, TRUE, FALSE)</f>
        <v>0</v>
      </c>
      <c r="J59" s="25">
        <f>IF(AND(E59=TRUE, A59&lt;=Inputs!$C$20), MIN(L58*Inputs!$D$15/12, MAX(0, C59 - D59 - F59)), 0)</f>
        <v>0</v>
      </c>
      <c r="K59" s="25">
        <f>IF(H59=0, MIN(L58, MAX(0, C59 - D59 - F59 - J59 - N59 - G59)), 0)</f>
        <v>0</v>
      </c>
      <c r="L59" s="25">
        <f>MAX(0, L58 - K59)</f>
        <v>0</v>
      </c>
      <c r="M59" s="23">
        <f>IF(B59 &gt;= (H58+L58+P58)*Inputs!$C$29, TRUE, FALSE)</f>
        <v>0</v>
      </c>
      <c r="N59" s="26">
        <f>IF(AND(I59=TRUE, A59&lt;=Inputs!$C$20), MIN(P58*Inputs!$D$16/12, MAX(0, C59 - D59 - F59 - J59)), 0)</f>
        <v>0</v>
      </c>
      <c r="O59" s="26">
        <f>IF(AND(H59=0, L59=0), MIN(P58, MAX(0, C59 - D59 - F59 - J59 - N59 - G59 - K59)), 0)</f>
        <v>0</v>
      </c>
      <c r="P59" s="26">
        <f>MAX(0, P58 - O59)</f>
        <v>0</v>
      </c>
      <c r="Q59" s="16">
        <f>IF(AND(E59=TRUE, I59=TRUE, M59=TRUE, A59&lt;=Inputs!$C$20), R59, 0)</f>
        <v>0</v>
      </c>
      <c r="R59" s="16">
        <f>MAX(0, C59 - D59 - F59 - J59 - N59 - G59 - K59 - O59)</f>
        <v>0</v>
      </c>
      <c r="S59" s="27">
        <f>IF(ABS(D59+(F59+J59+N59)+(G59+K59+O59)+R59-C59)&lt;1, "OK", "ERR")</f>
        <v>0</v>
      </c>
      <c r="T59" s="28">
        <f>EDATE($T$2, A59)</f>
        <v>0</v>
      </c>
      <c r="U59" s="16">
        <f>F59+G59</f>
        <v>0</v>
      </c>
      <c r="V59" s="16">
        <f>J59+K59</f>
        <v>0</v>
      </c>
      <c r="W59" s="16">
        <f>N59+O59</f>
        <v>0</v>
      </c>
    </row>
    <row r="60" spans="1:23">
      <c r="A60">
        <v>58</v>
      </c>
      <c r="B60" s="16">
        <f>'Asset Side'!B59</f>
        <v>0</v>
      </c>
      <c r="C60" s="16">
        <f>'Asset Side'!J60+'Asset Side'!K60</f>
        <v>0</v>
      </c>
      <c r="D60" s="16">
        <f>MIN(C60, B59*Inputs!$C$21/12)</f>
        <v>0</v>
      </c>
      <c r="E60" s="23">
        <f>IF(AND(B60 &gt;= H59*Inputs!$C$27, Inputs!$C$31&lt;&gt;"Yes"), TRUE, FALSE)</f>
        <v>0</v>
      </c>
      <c r="F60" s="24">
        <f>MIN(H59*Inputs!$D$14/12, MAX(0, C60 - D60))</f>
        <v>0</v>
      </c>
      <c r="G60" s="24">
        <f>MIN(H59, MAX(0, C60 - D60 - F60 - J60 - N60))</f>
        <v>0</v>
      </c>
      <c r="H60" s="24">
        <f>MAX(0, H59 - G60)</f>
        <v>0</v>
      </c>
      <c r="I60" s="23">
        <f>IF(B60 &gt;= (H59+L59)*Inputs!$C$28, TRUE, FALSE)</f>
        <v>0</v>
      </c>
      <c r="J60" s="25">
        <f>IF(AND(E60=TRUE, A60&lt;=Inputs!$C$20), MIN(L59*Inputs!$D$15/12, MAX(0, C60 - D60 - F60)), 0)</f>
        <v>0</v>
      </c>
      <c r="K60" s="25">
        <f>IF(H60=0, MIN(L59, MAX(0, C60 - D60 - F60 - J60 - N60 - G60)), 0)</f>
        <v>0</v>
      </c>
      <c r="L60" s="25">
        <f>MAX(0, L59 - K60)</f>
        <v>0</v>
      </c>
      <c r="M60" s="23">
        <f>IF(B60 &gt;= (H59+L59+P59)*Inputs!$C$29, TRUE, FALSE)</f>
        <v>0</v>
      </c>
      <c r="N60" s="26">
        <f>IF(AND(I60=TRUE, A60&lt;=Inputs!$C$20), MIN(P59*Inputs!$D$16/12, MAX(0, C60 - D60 - F60 - J60)), 0)</f>
        <v>0</v>
      </c>
      <c r="O60" s="26">
        <f>IF(AND(H60=0, L60=0), MIN(P59, MAX(0, C60 - D60 - F60 - J60 - N60 - G60 - K60)), 0)</f>
        <v>0</v>
      </c>
      <c r="P60" s="26">
        <f>MAX(0, P59 - O60)</f>
        <v>0</v>
      </c>
      <c r="Q60" s="16">
        <f>IF(AND(E60=TRUE, I60=TRUE, M60=TRUE, A60&lt;=Inputs!$C$20), R60, 0)</f>
        <v>0</v>
      </c>
      <c r="R60" s="16">
        <f>MAX(0, C60 - D60 - F60 - J60 - N60 - G60 - K60 - O60)</f>
        <v>0</v>
      </c>
      <c r="S60" s="27">
        <f>IF(ABS(D60+(F60+J60+N60)+(G60+K60+O60)+R60-C60)&lt;1, "OK", "ERR")</f>
        <v>0</v>
      </c>
      <c r="T60" s="28">
        <f>EDATE($T$2, A60)</f>
        <v>0</v>
      </c>
      <c r="U60" s="16">
        <f>F60+G60</f>
        <v>0</v>
      </c>
      <c r="V60" s="16">
        <f>J60+K60</f>
        <v>0</v>
      </c>
      <c r="W60" s="16">
        <f>N60+O60</f>
        <v>0</v>
      </c>
    </row>
    <row r="61" spans="1:23">
      <c r="A61">
        <v>59</v>
      </c>
      <c r="B61" s="16">
        <f>'Asset Side'!B60</f>
        <v>0</v>
      </c>
      <c r="C61" s="16">
        <f>'Asset Side'!J61+'Asset Side'!K61</f>
        <v>0</v>
      </c>
      <c r="D61" s="16">
        <f>MIN(C61, B60*Inputs!$C$21/12)</f>
        <v>0</v>
      </c>
      <c r="E61" s="23">
        <f>IF(AND(B61 &gt;= H60*Inputs!$C$27, Inputs!$C$31&lt;&gt;"Yes"), TRUE, FALSE)</f>
        <v>0</v>
      </c>
      <c r="F61" s="24">
        <f>MIN(H60*Inputs!$D$14/12, MAX(0, C61 - D61))</f>
        <v>0</v>
      </c>
      <c r="G61" s="24">
        <f>MIN(H60, MAX(0, C61 - D61 - F61 - J61 - N61))</f>
        <v>0</v>
      </c>
      <c r="H61" s="24">
        <f>MAX(0, H60 - G61)</f>
        <v>0</v>
      </c>
      <c r="I61" s="23">
        <f>IF(B61 &gt;= (H60+L60)*Inputs!$C$28, TRUE, FALSE)</f>
        <v>0</v>
      </c>
      <c r="J61" s="25">
        <f>IF(AND(E61=TRUE, A61&lt;=Inputs!$C$20), MIN(L60*Inputs!$D$15/12, MAX(0, C61 - D61 - F61)), 0)</f>
        <v>0</v>
      </c>
      <c r="K61" s="25">
        <f>IF(H61=0, MIN(L60, MAX(0, C61 - D61 - F61 - J61 - N61 - G61)), 0)</f>
        <v>0</v>
      </c>
      <c r="L61" s="25">
        <f>MAX(0, L60 - K61)</f>
        <v>0</v>
      </c>
      <c r="M61" s="23">
        <f>IF(B61 &gt;= (H60+L60+P60)*Inputs!$C$29, TRUE, FALSE)</f>
        <v>0</v>
      </c>
      <c r="N61" s="26">
        <f>IF(AND(I61=TRUE, A61&lt;=Inputs!$C$20), MIN(P60*Inputs!$D$16/12, MAX(0, C61 - D61 - F61 - J61)), 0)</f>
        <v>0</v>
      </c>
      <c r="O61" s="26">
        <f>IF(AND(H61=0, L61=0), MIN(P60, MAX(0, C61 - D61 - F61 - J61 - N61 - G61 - K61)), 0)</f>
        <v>0</v>
      </c>
      <c r="P61" s="26">
        <f>MAX(0, P60 - O61)</f>
        <v>0</v>
      </c>
      <c r="Q61" s="16">
        <f>IF(AND(E61=TRUE, I61=TRUE, M61=TRUE, A61&lt;=Inputs!$C$20), R61, 0)</f>
        <v>0</v>
      </c>
      <c r="R61" s="16">
        <f>MAX(0, C61 - D61 - F61 - J61 - N61 - G61 - K61 - O61)</f>
        <v>0</v>
      </c>
      <c r="S61" s="27">
        <f>IF(ABS(D61+(F61+J61+N61)+(G61+K61+O61)+R61-C61)&lt;1, "OK", "ERR")</f>
        <v>0</v>
      </c>
      <c r="T61" s="28">
        <f>EDATE($T$2, A61)</f>
        <v>0</v>
      </c>
      <c r="U61" s="16">
        <f>F61+G61</f>
        <v>0</v>
      </c>
      <c r="V61" s="16">
        <f>J61+K61</f>
        <v>0</v>
      </c>
      <c r="W61" s="16">
        <f>N61+O61</f>
        <v>0</v>
      </c>
    </row>
    <row r="62" spans="1:23">
      <c r="A62">
        <v>60</v>
      </c>
      <c r="B62" s="16">
        <f>'Asset Side'!B61</f>
        <v>0</v>
      </c>
      <c r="C62" s="16">
        <f>'Asset Side'!J62+'Asset Side'!K62</f>
        <v>0</v>
      </c>
      <c r="D62" s="16">
        <f>MIN(C62, B61*Inputs!$C$21/12)</f>
        <v>0</v>
      </c>
      <c r="E62" s="23">
        <f>IF(AND(B62 &gt;= H61*Inputs!$C$27, Inputs!$C$31&lt;&gt;"Yes"), TRUE, FALSE)</f>
        <v>0</v>
      </c>
      <c r="F62" s="24">
        <f>MIN(H61*Inputs!$D$14/12, MAX(0, C62 - D62))</f>
        <v>0</v>
      </c>
      <c r="G62" s="24">
        <f>MIN(H61, MAX(0, C62 - D62 - F62 - J62 - N62))</f>
        <v>0</v>
      </c>
      <c r="H62" s="24">
        <f>MAX(0, H61 - G62)</f>
        <v>0</v>
      </c>
      <c r="I62" s="23">
        <f>IF(B62 &gt;= (H61+L61)*Inputs!$C$28, TRUE, FALSE)</f>
        <v>0</v>
      </c>
      <c r="J62" s="25">
        <f>IF(AND(E62=TRUE, A62&lt;=Inputs!$C$20), MIN(L61*Inputs!$D$15/12, MAX(0, C62 - D62 - F62)), 0)</f>
        <v>0</v>
      </c>
      <c r="K62" s="25">
        <f>IF(H62=0, MIN(L61, MAX(0, C62 - D62 - F62 - J62 - N62 - G62)), 0)</f>
        <v>0</v>
      </c>
      <c r="L62" s="25">
        <f>MAX(0, L61 - K62)</f>
        <v>0</v>
      </c>
      <c r="M62" s="23">
        <f>IF(B62 &gt;= (H61+L61+P61)*Inputs!$C$29, TRUE, FALSE)</f>
        <v>0</v>
      </c>
      <c r="N62" s="26">
        <f>IF(AND(I62=TRUE, A62&lt;=Inputs!$C$20), MIN(P61*Inputs!$D$16/12, MAX(0, C62 - D62 - F62 - J62)), 0)</f>
        <v>0</v>
      </c>
      <c r="O62" s="26">
        <f>IF(AND(H62=0, L62=0), MIN(P61, MAX(0, C62 - D62 - F62 - J62 - N62 - G62 - K62)), 0)</f>
        <v>0</v>
      </c>
      <c r="P62" s="26">
        <f>MAX(0, P61 - O62)</f>
        <v>0</v>
      </c>
      <c r="Q62" s="16">
        <f>IF(AND(E62=TRUE, I62=TRUE, M62=TRUE, A62&lt;=Inputs!$C$20), R62, 0)</f>
        <v>0</v>
      </c>
      <c r="R62" s="16">
        <f>MAX(0, C62 - D62 - F62 - J62 - N62 - G62 - K62 - O62)</f>
        <v>0</v>
      </c>
      <c r="S62" s="27">
        <f>IF(ABS(D62+(F62+J62+N62)+(G62+K62+O62)+R62-C62)&lt;1, "OK", "ERR")</f>
        <v>0</v>
      </c>
      <c r="T62" s="28">
        <f>EDATE($T$2, A62)</f>
        <v>0</v>
      </c>
      <c r="U62" s="16">
        <f>F62+G62</f>
        <v>0</v>
      </c>
      <c r="V62" s="16">
        <f>J62+K62</f>
        <v>0</v>
      </c>
      <c r="W62" s="16">
        <f>N62+O62</f>
        <v>0</v>
      </c>
    </row>
    <row r="63" spans="1:23">
      <c r="A63">
        <v>61</v>
      </c>
      <c r="B63" s="16">
        <f>'Asset Side'!B62</f>
        <v>0</v>
      </c>
      <c r="C63" s="16">
        <f>'Asset Side'!J63+'Asset Side'!K63</f>
        <v>0</v>
      </c>
      <c r="D63" s="16">
        <f>MIN(C63, B62*Inputs!$C$21/12)</f>
        <v>0</v>
      </c>
      <c r="E63" s="23">
        <f>IF(AND(B63 &gt;= H62*Inputs!$C$27, Inputs!$C$31&lt;&gt;"Yes"), TRUE, FALSE)</f>
        <v>0</v>
      </c>
      <c r="F63" s="24">
        <f>MIN(H62*Inputs!$D$14/12, MAX(0, C63 - D63))</f>
        <v>0</v>
      </c>
      <c r="G63" s="24">
        <f>MIN(H62, MAX(0, C63 - D63 - F63 - J63 - N63))</f>
        <v>0</v>
      </c>
      <c r="H63" s="24">
        <f>MAX(0, H62 - G63)</f>
        <v>0</v>
      </c>
      <c r="I63" s="23">
        <f>IF(B63 &gt;= (H62+L62)*Inputs!$C$28, TRUE, FALSE)</f>
        <v>0</v>
      </c>
      <c r="J63" s="25">
        <f>IF(AND(E63=TRUE, A63&lt;=Inputs!$C$20), MIN(L62*Inputs!$D$15/12, MAX(0, C63 - D63 - F63)), 0)</f>
        <v>0</v>
      </c>
      <c r="K63" s="25">
        <f>IF(H63=0, MIN(L62, MAX(0, C63 - D63 - F63 - J63 - N63 - G63)), 0)</f>
        <v>0</v>
      </c>
      <c r="L63" s="25">
        <f>MAX(0, L62 - K63)</f>
        <v>0</v>
      </c>
      <c r="M63" s="23">
        <f>IF(B63 &gt;= (H62+L62+P62)*Inputs!$C$29, TRUE, FALSE)</f>
        <v>0</v>
      </c>
      <c r="N63" s="26">
        <f>IF(AND(I63=TRUE, A63&lt;=Inputs!$C$20), MIN(P62*Inputs!$D$16/12, MAX(0, C63 - D63 - F63 - J63)), 0)</f>
        <v>0</v>
      </c>
      <c r="O63" s="26">
        <f>IF(AND(H63=0, L63=0), MIN(P62, MAX(0, C63 - D63 - F63 - J63 - N63 - G63 - K63)), 0)</f>
        <v>0</v>
      </c>
      <c r="P63" s="26">
        <f>MAX(0, P62 - O63)</f>
        <v>0</v>
      </c>
      <c r="Q63" s="16">
        <f>IF(AND(E63=TRUE, I63=TRUE, M63=TRUE, A63&lt;=Inputs!$C$20), R63, 0)</f>
        <v>0</v>
      </c>
      <c r="R63" s="16">
        <f>MAX(0, C63 - D63 - F63 - J63 - N63 - G63 - K63 - O63)</f>
        <v>0</v>
      </c>
      <c r="S63" s="27">
        <f>IF(ABS(D63+(F63+J63+N63)+(G63+K63+O63)+R63-C63)&lt;1, "OK", "ERR")</f>
        <v>0</v>
      </c>
      <c r="T63" s="28">
        <f>EDATE($T$2, A63)</f>
        <v>0</v>
      </c>
      <c r="U63" s="16">
        <f>F63+G63</f>
        <v>0</v>
      </c>
      <c r="V63" s="16">
        <f>J63+K63</f>
        <v>0</v>
      </c>
      <c r="W63" s="16">
        <f>N63+O63</f>
        <v>0</v>
      </c>
    </row>
    <row r="64" spans="1:23">
      <c r="A64">
        <v>62</v>
      </c>
      <c r="B64" s="16">
        <f>'Asset Side'!B63</f>
        <v>0</v>
      </c>
      <c r="C64" s="16">
        <f>'Asset Side'!J64+'Asset Side'!K64</f>
        <v>0</v>
      </c>
      <c r="D64" s="16">
        <f>MIN(C64, B63*Inputs!$C$21/12)</f>
        <v>0</v>
      </c>
      <c r="E64" s="23">
        <f>IF(AND(B64 &gt;= H63*Inputs!$C$27, Inputs!$C$31&lt;&gt;"Yes"), TRUE, FALSE)</f>
        <v>0</v>
      </c>
      <c r="F64" s="24">
        <f>MIN(H63*Inputs!$D$14/12, MAX(0, C64 - D64))</f>
        <v>0</v>
      </c>
      <c r="G64" s="24">
        <f>MIN(H63, MAX(0, C64 - D64 - F64 - J64 - N64))</f>
        <v>0</v>
      </c>
      <c r="H64" s="24">
        <f>MAX(0, H63 - G64)</f>
        <v>0</v>
      </c>
      <c r="I64" s="23">
        <f>IF(B64 &gt;= (H63+L63)*Inputs!$C$28, TRUE, FALSE)</f>
        <v>0</v>
      </c>
      <c r="J64" s="25">
        <f>IF(AND(E64=TRUE, A64&lt;=Inputs!$C$20), MIN(L63*Inputs!$D$15/12, MAX(0, C64 - D64 - F64)), 0)</f>
        <v>0</v>
      </c>
      <c r="K64" s="25">
        <f>IF(H64=0, MIN(L63, MAX(0, C64 - D64 - F64 - J64 - N64 - G64)), 0)</f>
        <v>0</v>
      </c>
      <c r="L64" s="25">
        <f>MAX(0, L63 - K64)</f>
        <v>0</v>
      </c>
      <c r="M64" s="23">
        <f>IF(B64 &gt;= (H63+L63+P63)*Inputs!$C$29, TRUE, FALSE)</f>
        <v>0</v>
      </c>
      <c r="N64" s="26">
        <f>IF(AND(I64=TRUE, A64&lt;=Inputs!$C$20), MIN(P63*Inputs!$D$16/12, MAX(0, C64 - D64 - F64 - J64)), 0)</f>
        <v>0</v>
      </c>
      <c r="O64" s="26">
        <f>IF(AND(H64=0, L64=0), MIN(P63, MAX(0, C64 - D64 - F64 - J64 - N64 - G64 - K64)), 0)</f>
        <v>0</v>
      </c>
      <c r="P64" s="26">
        <f>MAX(0, P63 - O64)</f>
        <v>0</v>
      </c>
      <c r="Q64" s="16">
        <f>IF(AND(E64=TRUE, I64=TRUE, M64=TRUE, A64&lt;=Inputs!$C$20), R64, 0)</f>
        <v>0</v>
      </c>
      <c r="R64" s="16">
        <f>MAX(0, C64 - D64 - F64 - J64 - N64 - G64 - K64 - O64)</f>
        <v>0</v>
      </c>
      <c r="S64" s="27">
        <f>IF(ABS(D64+(F64+J64+N64)+(G64+K64+O64)+R64-C64)&lt;1, "OK", "ERR")</f>
        <v>0</v>
      </c>
      <c r="T64" s="28">
        <f>EDATE($T$2, A64)</f>
        <v>0</v>
      </c>
      <c r="U64" s="16">
        <f>F64+G64</f>
        <v>0</v>
      </c>
      <c r="V64" s="16">
        <f>J64+K64</f>
        <v>0</v>
      </c>
      <c r="W64" s="16">
        <f>N64+O64</f>
        <v>0</v>
      </c>
    </row>
    <row r="65" spans="1:23">
      <c r="A65">
        <v>63</v>
      </c>
      <c r="B65" s="16">
        <f>'Asset Side'!B64</f>
        <v>0</v>
      </c>
      <c r="C65" s="16">
        <f>'Asset Side'!J65+'Asset Side'!K65</f>
        <v>0</v>
      </c>
      <c r="D65" s="16">
        <f>MIN(C65, B64*Inputs!$C$21/12)</f>
        <v>0</v>
      </c>
      <c r="E65" s="23">
        <f>IF(AND(B65 &gt;= H64*Inputs!$C$27, Inputs!$C$31&lt;&gt;"Yes"), TRUE, FALSE)</f>
        <v>0</v>
      </c>
      <c r="F65" s="24">
        <f>MIN(H64*Inputs!$D$14/12, MAX(0, C65 - D65))</f>
        <v>0</v>
      </c>
      <c r="G65" s="24">
        <f>MIN(H64, MAX(0, C65 - D65 - F65 - J65 - N65))</f>
        <v>0</v>
      </c>
      <c r="H65" s="24">
        <f>MAX(0, H64 - G65)</f>
        <v>0</v>
      </c>
      <c r="I65" s="23">
        <f>IF(B65 &gt;= (H64+L64)*Inputs!$C$28, TRUE, FALSE)</f>
        <v>0</v>
      </c>
      <c r="J65" s="25">
        <f>IF(AND(E65=TRUE, A65&lt;=Inputs!$C$20), MIN(L64*Inputs!$D$15/12, MAX(0, C65 - D65 - F65)), 0)</f>
        <v>0</v>
      </c>
      <c r="K65" s="25">
        <f>IF(H65=0, MIN(L64, MAX(0, C65 - D65 - F65 - J65 - N65 - G65)), 0)</f>
        <v>0</v>
      </c>
      <c r="L65" s="25">
        <f>MAX(0, L64 - K65)</f>
        <v>0</v>
      </c>
      <c r="M65" s="23">
        <f>IF(B65 &gt;= (H64+L64+P64)*Inputs!$C$29, TRUE, FALSE)</f>
        <v>0</v>
      </c>
      <c r="N65" s="26">
        <f>IF(AND(I65=TRUE, A65&lt;=Inputs!$C$20), MIN(P64*Inputs!$D$16/12, MAX(0, C65 - D65 - F65 - J65)), 0)</f>
        <v>0</v>
      </c>
      <c r="O65" s="26">
        <f>IF(AND(H65=0, L65=0), MIN(P64, MAX(0, C65 - D65 - F65 - J65 - N65 - G65 - K65)), 0)</f>
        <v>0</v>
      </c>
      <c r="P65" s="26">
        <f>MAX(0, P64 - O65)</f>
        <v>0</v>
      </c>
      <c r="Q65" s="16">
        <f>IF(AND(E65=TRUE, I65=TRUE, M65=TRUE, A65&lt;=Inputs!$C$20), R65, 0)</f>
        <v>0</v>
      </c>
      <c r="R65" s="16">
        <f>MAX(0, C65 - D65 - F65 - J65 - N65 - G65 - K65 - O65)</f>
        <v>0</v>
      </c>
      <c r="S65" s="27">
        <f>IF(ABS(D65+(F65+J65+N65)+(G65+K65+O65)+R65-C65)&lt;1, "OK", "ERR")</f>
        <v>0</v>
      </c>
      <c r="T65" s="28">
        <f>EDATE($T$2, A65)</f>
        <v>0</v>
      </c>
      <c r="U65" s="16">
        <f>F65+G65</f>
        <v>0</v>
      </c>
      <c r="V65" s="16">
        <f>J65+K65</f>
        <v>0</v>
      </c>
      <c r="W65" s="16">
        <f>N65+O65</f>
        <v>0</v>
      </c>
    </row>
    <row r="66" spans="1:23">
      <c r="A66">
        <v>64</v>
      </c>
      <c r="B66" s="16">
        <f>'Asset Side'!B65</f>
        <v>0</v>
      </c>
      <c r="C66" s="16">
        <f>'Asset Side'!J66+'Asset Side'!K66</f>
        <v>0</v>
      </c>
      <c r="D66" s="16">
        <f>MIN(C66, B65*Inputs!$C$21/12)</f>
        <v>0</v>
      </c>
      <c r="E66" s="23">
        <f>IF(AND(B66 &gt;= H65*Inputs!$C$27, Inputs!$C$31&lt;&gt;"Yes"), TRUE, FALSE)</f>
        <v>0</v>
      </c>
      <c r="F66" s="24">
        <f>MIN(H65*Inputs!$D$14/12, MAX(0, C66 - D66))</f>
        <v>0</v>
      </c>
      <c r="G66" s="24">
        <f>MIN(H65, MAX(0, C66 - D66 - F66 - J66 - N66))</f>
        <v>0</v>
      </c>
      <c r="H66" s="24">
        <f>MAX(0, H65 - G66)</f>
        <v>0</v>
      </c>
      <c r="I66" s="23">
        <f>IF(B66 &gt;= (H65+L65)*Inputs!$C$28, TRUE, FALSE)</f>
        <v>0</v>
      </c>
      <c r="J66" s="25">
        <f>IF(AND(E66=TRUE, A66&lt;=Inputs!$C$20), MIN(L65*Inputs!$D$15/12, MAX(0, C66 - D66 - F66)), 0)</f>
        <v>0</v>
      </c>
      <c r="K66" s="25">
        <f>IF(H66=0, MIN(L65, MAX(0, C66 - D66 - F66 - J66 - N66 - G66)), 0)</f>
        <v>0</v>
      </c>
      <c r="L66" s="25">
        <f>MAX(0, L65 - K66)</f>
        <v>0</v>
      </c>
      <c r="M66" s="23">
        <f>IF(B66 &gt;= (H65+L65+P65)*Inputs!$C$29, TRUE, FALSE)</f>
        <v>0</v>
      </c>
      <c r="N66" s="26">
        <f>IF(AND(I66=TRUE, A66&lt;=Inputs!$C$20), MIN(P65*Inputs!$D$16/12, MAX(0, C66 - D66 - F66 - J66)), 0)</f>
        <v>0</v>
      </c>
      <c r="O66" s="26">
        <f>IF(AND(H66=0, L66=0), MIN(P65, MAX(0, C66 - D66 - F66 - J66 - N66 - G66 - K66)), 0)</f>
        <v>0</v>
      </c>
      <c r="P66" s="26">
        <f>MAX(0, P65 - O66)</f>
        <v>0</v>
      </c>
      <c r="Q66" s="16">
        <f>IF(AND(E66=TRUE, I66=TRUE, M66=TRUE, A66&lt;=Inputs!$C$20), R66, 0)</f>
        <v>0</v>
      </c>
      <c r="R66" s="16">
        <f>MAX(0, C66 - D66 - F66 - J66 - N66 - G66 - K66 - O66)</f>
        <v>0</v>
      </c>
      <c r="S66" s="27">
        <f>IF(ABS(D66+(F66+J66+N66)+(G66+K66+O66)+R66-C66)&lt;1, "OK", "ERR")</f>
        <v>0</v>
      </c>
      <c r="T66" s="28">
        <f>EDATE($T$2, A66)</f>
        <v>0</v>
      </c>
      <c r="U66" s="16">
        <f>F66+G66</f>
        <v>0</v>
      </c>
      <c r="V66" s="16">
        <f>J66+K66</f>
        <v>0</v>
      </c>
      <c r="W66" s="16">
        <f>N66+O66</f>
        <v>0</v>
      </c>
    </row>
    <row r="67" spans="1:23">
      <c r="A67">
        <v>65</v>
      </c>
      <c r="B67" s="16">
        <f>'Asset Side'!B66</f>
        <v>0</v>
      </c>
      <c r="C67" s="16">
        <f>'Asset Side'!J67+'Asset Side'!K67</f>
        <v>0</v>
      </c>
      <c r="D67" s="16">
        <f>MIN(C67, B66*Inputs!$C$21/12)</f>
        <v>0</v>
      </c>
      <c r="E67" s="23">
        <f>IF(AND(B67 &gt;= H66*Inputs!$C$27, Inputs!$C$31&lt;&gt;"Yes"), TRUE, FALSE)</f>
        <v>0</v>
      </c>
      <c r="F67" s="24">
        <f>MIN(H66*Inputs!$D$14/12, MAX(0, C67 - D67))</f>
        <v>0</v>
      </c>
      <c r="G67" s="24">
        <f>MIN(H66, MAX(0, C67 - D67 - F67 - J67 - N67))</f>
        <v>0</v>
      </c>
      <c r="H67" s="24">
        <f>MAX(0, H66 - G67)</f>
        <v>0</v>
      </c>
      <c r="I67" s="23">
        <f>IF(B67 &gt;= (H66+L66)*Inputs!$C$28, TRUE, FALSE)</f>
        <v>0</v>
      </c>
      <c r="J67" s="25">
        <f>IF(AND(E67=TRUE, A67&lt;=Inputs!$C$20), MIN(L66*Inputs!$D$15/12, MAX(0, C67 - D67 - F67)), 0)</f>
        <v>0</v>
      </c>
      <c r="K67" s="25">
        <f>IF(H67=0, MIN(L66, MAX(0, C67 - D67 - F67 - J67 - N67 - G67)), 0)</f>
        <v>0</v>
      </c>
      <c r="L67" s="25">
        <f>MAX(0, L66 - K67)</f>
        <v>0</v>
      </c>
      <c r="M67" s="23">
        <f>IF(B67 &gt;= (H66+L66+P66)*Inputs!$C$29, TRUE, FALSE)</f>
        <v>0</v>
      </c>
      <c r="N67" s="26">
        <f>IF(AND(I67=TRUE, A67&lt;=Inputs!$C$20), MIN(P66*Inputs!$D$16/12, MAX(0, C67 - D67 - F67 - J67)), 0)</f>
        <v>0</v>
      </c>
      <c r="O67" s="26">
        <f>IF(AND(H67=0, L67=0), MIN(P66, MAX(0, C67 - D67 - F67 - J67 - N67 - G67 - K67)), 0)</f>
        <v>0</v>
      </c>
      <c r="P67" s="26">
        <f>MAX(0, P66 - O67)</f>
        <v>0</v>
      </c>
      <c r="Q67" s="16">
        <f>IF(AND(E67=TRUE, I67=TRUE, M67=TRUE, A67&lt;=Inputs!$C$20), R67, 0)</f>
        <v>0</v>
      </c>
      <c r="R67" s="16">
        <f>MAX(0, C67 - D67 - F67 - J67 - N67 - G67 - K67 - O67)</f>
        <v>0</v>
      </c>
      <c r="S67" s="27">
        <f>IF(ABS(D67+(F67+J67+N67)+(G67+K67+O67)+R67-C67)&lt;1, "OK", "ERR")</f>
        <v>0</v>
      </c>
      <c r="T67" s="28">
        <f>EDATE($T$2, A67)</f>
        <v>0</v>
      </c>
      <c r="U67" s="16">
        <f>F67+G67</f>
        <v>0</v>
      </c>
      <c r="V67" s="16">
        <f>J67+K67</f>
        <v>0</v>
      </c>
      <c r="W67" s="16">
        <f>N67+O67</f>
        <v>0</v>
      </c>
    </row>
    <row r="68" spans="1:23">
      <c r="A68">
        <v>66</v>
      </c>
      <c r="B68" s="16">
        <f>'Asset Side'!B67</f>
        <v>0</v>
      </c>
      <c r="C68" s="16">
        <f>'Asset Side'!J68+'Asset Side'!K68</f>
        <v>0</v>
      </c>
      <c r="D68" s="16">
        <f>MIN(C68, B67*Inputs!$C$21/12)</f>
        <v>0</v>
      </c>
      <c r="E68" s="23">
        <f>IF(AND(B68 &gt;= H67*Inputs!$C$27, Inputs!$C$31&lt;&gt;"Yes"), TRUE, FALSE)</f>
        <v>0</v>
      </c>
      <c r="F68" s="24">
        <f>MIN(H67*Inputs!$D$14/12, MAX(0, C68 - D68))</f>
        <v>0</v>
      </c>
      <c r="G68" s="24">
        <f>MIN(H67, MAX(0, C68 - D68 - F68 - J68 - N68))</f>
        <v>0</v>
      </c>
      <c r="H68" s="24">
        <f>MAX(0, H67 - G68)</f>
        <v>0</v>
      </c>
      <c r="I68" s="23">
        <f>IF(B68 &gt;= (H67+L67)*Inputs!$C$28, TRUE, FALSE)</f>
        <v>0</v>
      </c>
      <c r="J68" s="25">
        <f>IF(AND(E68=TRUE, A68&lt;=Inputs!$C$20), MIN(L67*Inputs!$D$15/12, MAX(0, C68 - D68 - F68)), 0)</f>
        <v>0</v>
      </c>
      <c r="K68" s="25">
        <f>IF(H68=0, MIN(L67, MAX(0, C68 - D68 - F68 - J68 - N68 - G68)), 0)</f>
        <v>0</v>
      </c>
      <c r="L68" s="25">
        <f>MAX(0, L67 - K68)</f>
        <v>0</v>
      </c>
      <c r="M68" s="23">
        <f>IF(B68 &gt;= (H67+L67+P67)*Inputs!$C$29, TRUE, FALSE)</f>
        <v>0</v>
      </c>
      <c r="N68" s="26">
        <f>IF(AND(I68=TRUE, A68&lt;=Inputs!$C$20), MIN(P67*Inputs!$D$16/12, MAX(0, C68 - D68 - F68 - J68)), 0)</f>
        <v>0</v>
      </c>
      <c r="O68" s="26">
        <f>IF(AND(H68=0, L68=0), MIN(P67, MAX(0, C68 - D68 - F68 - J68 - N68 - G68 - K68)), 0)</f>
        <v>0</v>
      </c>
      <c r="P68" s="26">
        <f>MAX(0, P67 - O68)</f>
        <v>0</v>
      </c>
      <c r="Q68" s="16">
        <f>IF(AND(E68=TRUE, I68=TRUE, M68=TRUE, A68&lt;=Inputs!$C$20), R68, 0)</f>
        <v>0</v>
      </c>
      <c r="R68" s="16">
        <f>MAX(0, C68 - D68 - F68 - J68 - N68 - G68 - K68 - O68)</f>
        <v>0</v>
      </c>
      <c r="S68" s="27">
        <f>IF(ABS(D68+(F68+J68+N68)+(G68+K68+O68)+R68-C68)&lt;1, "OK", "ERR")</f>
        <v>0</v>
      </c>
      <c r="T68" s="28">
        <f>EDATE($T$2, A68)</f>
        <v>0</v>
      </c>
      <c r="U68" s="16">
        <f>F68+G68</f>
        <v>0</v>
      </c>
      <c r="V68" s="16">
        <f>J68+K68</f>
        <v>0</v>
      </c>
      <c r="W68" s="16">
        <f>N68+O68</f>
        <v>0</v>
      </c>
    </row>
    <row r="69" spans="1:23">
      <c r="A69">
        <v>67</v>
      </c>
      <c r="B69" s="16">
        <f>'Asset Side'!B68</f>
        <v>0</v>
      </c>
      <c r="C69" s="16">
        <f>'Asset Side'!J69+'Asset Side'!K69</f>
        <v>0</v>
      </c>
      <c r="D69" s="16">
        <f>MIN(C69, B68*Inputs!$C$21/12)</f>
        <v>0</v>
      </c>
      <c r="E69" s="23">
        <f>IF(AND(B69 &gt;= H68*Inputs!$C$27, Inputs!$C$31&lt;&gt;"Yes"), TRUE, FALSE)</f>
        <v>0</v>
      </c>
      <c r="F69" s="24">
        <f>MIN(H68*Inputs!$D$14/12, MAX(0, C69 - D69))</f>
        <v>0</v>
      </c>
      <c r="G69" s="24">
        <f>MIN(H68, MAX(0, C69 - D69 - F69 - J69 - N69))</f>
        <v>0</v>
      </c>
      <c r="H69" s="24">
        <f>MAX(0, H68 - G69)</f>
        <v>0</v>
      </c>
      <c r="I69" s="23">
        <f>IF(B69 &gt;= (H68+L68)*Inputs!$C$28, TRUE, FALSE)</f>
        <v>0</v>
      </c>
      <c r="J69" s="25">
        <f>IF(AND(E69=TRUE, A69&lt;=Inputs!$C$20), MIN(L68*Inputs!$D$15/12, MAX(0, C69 - D69 - F69)), 0)</f>
        <v>0</v>
      </c>
      <c r="K69" s="25">
        <f>IF(H69=0, MIN(L68, MAX(0, C69 - D69 - F69 - J69 - N69 - G69)), 0)</f>
        <v>0</v>
      </c>
      <c r="L69" s="25">
        <f>MAX(0, L68 - K69)</f>
        <v>0</v>
      </c>
      <c r="M69" s="23">
        <f>IF(B69 &gt;= (H68+L68+P68)*Inputs!$C$29, TRUE, FALSE)</f>
        <v>0</v>
      </c>
      <c r="N69" s="26">
        <f>IF(AND(I69=TRUE, A69&lt;=Inputs!$C$20), MIN(P68*Inputs!$D$16/12, MAX(0, C69 - D69 - F69 - J69)), 0)</f>
        <v>0</v>
      </c>
      <c r="O69" s="26">
        <f>IF(AND(H69=0, L69=0), MIN(P68, MAX(0, C69 - D69 - F69 - J69 - N69 - G69 - K69)), 0)</f>
        <v>0</v>
      </c>
      <c r="P69" s="26">
        <f>MAX(0, P68 - O69)</f>
        <v>0</v>
      </c>
      <c r="Q69" s="16">
        <f>IF(AND(E69=TRUE, I69=TRUE, M69=TRUE, A69&lt;=Inputs!$C$20), R69, 0)</f>
        <v>0</v>
      </c>
      <c r="R69" s="16">
        <f>MAX(0, C69 - D69 - F69 - J69 - N69 - G69 - K69 - O69)</f>
        <v>0</v>
      </c>
      <c r="S69" s="27">
        <f>IF(ABS(D69+(F69+J69+N69)+(G69+K69+O69)+R69-C69)&lt;1, "OK", "ERR")</f>
        <v>0</v>
      </c>
      <c r="T69" s="28">
        <f>EDATE($T$2, A69)</f>
        <v>0</v>
      </c>
      <c r="U69" s="16">
        <f>F69+G69</f>
        <v>0</v>
      </c>
      <c r="V69" s="16">
        <f>J69+K69</f>
        <v>0</v>
      </c>
      <c r="W69" s="16">
        <f>N69+O69</f>
        <v>0</v>
      </c>
    </row>
    <row r="70" spans="1:23">
      <c r="A70">
        <v>68</v>
      </c>
      <c r="B70" s="16">
        <f>'Asset Side'!B69</f>
        <v>0</v>
      </c>
      <c r="C70" s="16">
        <f>'Asset Side'!J70+'Asset Side'!K70</f>
        <v>0</v>
      </c>
      <c r="D70" s="16">
        <f>MIN(C70, B69*Inputs!$C$21/12)</f>
        <v>0</v>
      </c>
      <c r="E70" s="23">
        <f>IF(AND(B70 &gt;= H69*Inputs!$C$27, Inputs!$C$31&lt;&gt;"Yes"), TRUE, FALSE)</f>
        <v>0</v>
      </c>
      <c r="F70" s="24">
        <f>MIN(H69*Inputs!$D$14/12, MAX(0, C70 - D70))</f>
        <v>0</v>
      </c>
      <c r="G70" s="24">
        <f>MIN(H69, MAX(0, C70 - D70 - F70 - J70 - N70))</f>
        <v>0</v>
      </c>
      <c r="H70" s="24">
        <f>MAX(0, H69 - G70)</f>
        <v>0</v>
      </c>
      <c r="I70" s="23">
        <f>IF(B70 &gt;= (H69+L69)*Inputs!$C$28, TRUE, FALSE)</f>
        <v>0</v>
      </c>
      <c r="J70" s="25">
        <f>IF(AND(E70=TRUE, A70&lt;=Inputs!$C$20), MIN(L69*Inputs!$D$15/12, MAX(0, C70 - D70 - F70)), 0)</f>
        <v>0</v>
      </c>
      <c r="K70" s="25">
        <f>IF(H70=0, MIN(L69, MAX(0, C70 - D70 - F70 - J70 - N70 - G70)), 0)</f>
        <v>0</v>
      </c>
      <c r="L70" s="25">
        <f>MAX(0, L69 - K70)</f>
        <v>0</v>
      </c>
      <c r="M70" s="23">
        <f>IF(B70 &gt;= (H69+L69+P69)*Inputs!$C$29, TRUE, FALSE)</f>
        <v>0</v>
      </c>
      <c r="N70" s="26">
        <f>IF(AND(I70=TRUE, A70&lt;=Inputs!$C$20), MIN(P69*Inputs!$D$16/12, MAX(0, C70 - D70 - F70 - J70)), 0)</f>
        <v>0</v>
      </c>
      <c r="O70" s="26">
        <f>IF(AND(H70=0, L70=0), MIN(P69, MAX(0, C70 - D70 - F70 - J70 - N70 - G70 - K70)), 0)</f>
        <v>0</v>
      </c>
      <c r="P70" s="26">
        <f>MAX(0, P69 - O70)</f>
        <v>0</v>
      </c>
      <c r="Q70" s="16">
        <f>IF(AND(E70=TRUE, I70=TRUE, M70=TRUE, A70&lt;=Inputs!$C$20), R70, 0)</f>
        <v>0</v>
      </c>
      <c r="R70" s="16">
        <f>MAX(0, C70 - D70 - F70 - J70 - N70 - G70 - K70 - O70)</f>
        <v>0</v>
      </c>
      <c r="S70" s="27">
        <f>IF(ABS(D70+(F70+J70+N70)+(G70+K70+O70)+R70-C70)&lt;1, "OK", "ERR")</f>
        <v>0</v>
      </c>
      <c r="T70" s="28">
        <f>EDATE($T$2, A70)</f>
        <v>0</v>
      </c>
      <c r="U70" s="16">
        <f>F70+G70</f>
        <v>0</v>
      </c>
      <c r="V70" s="16">
        <f>J70+K70</f>
        <v>0</v>
      </c>
      <c r="W70" s="16">
        <f>N70+O70</f>
        <v>0</v>
      </c>
    </row>
    <row r="71" spans="1:23">
      <c r="A71">
        <v>69</v>
      </c>
      <c r="B71" s="16">
        <f>'Asset Side'!B70</f>
        <v>0</v>
      </c>
      <c r="C71" s="16">
        <f>'Asset Side'!J71+'Asset Side'!K71</f>
        <v>0</v>
      </c>
      <c r="D71" s="16">
        <f>MIN(C71, B70*Inputs!$C$21/12)</f>
        <v>0</v>
      </c>
      <c r="E71" s="23">
        <f>IF(AND(B71 &gt;= H70*Inputs!$C$27, Inputs!$C$31&lt;&gt;"Yes"), TRUE, FALSE)</f>
        <v>0</v>
      </c>
      <c r="F71" s="24">
        <f>MIN(H70*Inputs!$D$14/12, MAX(0, C71 - D71))</f>
        <v>0</v>
      </c>
      <c r="G71" s="24">
        <f>MIN(H70, MAX(0, C71 - D71 - F71 - J71 - N71))</f>
        <v>0</v>
      </c>
      <c r="H71" s="24">
        <f>MAX(0, H70 - G71)</f>
        <v>0</v>
      </c>
      <c r="I71" s="23">
        <f>IF(B71 &gt;= (H70+L70)*Inputs!$C$28, TRUE, FALSE)</f>
        <v>0</v>
      </c>
      <c r="J71" s="25">
        <f>IF(AND(E71=TRUE, A71&lt;=Inputs!$C$20), MIN(L70*Inputs!$D$15/12, MAX(0, C71 - D71 - F71)), 0)</f>
        <v>0</v>
      </c>
      <c r="K71" s="25">
        <f>IF(H71=0, MIN(L70, MAX(0, C71 - D71 - F71 - J71 - N71 - G71)), 0)</f>
        <v>0</v>
      </c>
      <c r="L71" s="25">
        <f>MAX(0, L70 - K71)</f>
        <v>0</v>
      </c>
      <c r="M71" s="23">
        <f>IF(B71 &gt;= (H70+L70+P70)*Inputs!$C$29, TRUE, FALSE)</f>
        <v>0</v>
      </c>
      <c r="N71" s="26">
        <f>IF(AND(I71=TRUE, A71&lt;=Inputs!$C$20), MIN(P70*Inputs!$D$16/12, MAX(0, C71 - D71 - F71 - J71)), 0)</f>
        <v>0</v>
      </c>
      <c r="O71" s="26">
        <f>IF(AND(H71=0, L71=0), MIN(P70, MAX(0, C71 - D71 - F71 - J71 - N71 - G71 - K71)), 0)</f>
        <v>0</v>
      </c>
      <c r="P71" s="26">
        <f>MAX(0, P70 - O71)</f>
        <v>0</v>
      </c>
      <c r="Q71" s="16">
        <f>IF(AND(E71=TRUE, I71=TRUE, M71=TRUE, A71&lt;=Inputs!$C$20), R71, 0)</f>
        <v>0</v>
      </c>
      <c r="R71" s="16">
        <f>MAX(0, C71 - D71 - F71 - J71 - N71 - G71 - K71 - O71)</f>
        <v>0</v>
      </c>
      <c r="S71" s="27">
        <f>IF(ABS(D71+(F71+J71+N71)+(G71+K71+O71)+R71-C71)&lt;1, "OK", "ERR")</f>
        <v>0</v>
      </c>
      <c r="T71" s="28">
        <f>EDATE($T$2, A71)</f>
        <v>0</v>
      </c>
      <c r="U71" s="16">
        <f>F71+G71</f>
        <v>0</v>
      </c>
      <c r="V71" s="16">
        <f>J71+K71</f>
        <v>0</v>
      </c>
      <c r="W71" s="16">
        <f>N71+O71</f>
        <v>0</v>
      </c>
    </row>
    <row r="72" spans="1:23">
      <c r="A72">
        <v>70</v>
      </c>
      <c r="B72" s="16">
        <f>'Asset Side'!B71</f>
        <v>0</v>
      </c>
      <c r="C72" s="16">
        <f>'Asset Side'!J72+'Asset Side'!K72</f>
        <v>0</v>
      </c>
      <c r="D72" s="16">
        <f>MIN(C72, B71*Inputs!$C$21/12)</f>
        <v>0</v>
      </c>
      <c r="E72" s="23">
        <f>IF(AND(B72 &gt;= H71*Inputs!$C$27, Inputs!$C$31&lt;&gt;"Yes"), TRUE, FALSE)</f>
        <v>0</v>
      </c>
      <c r="F72" s="24">
        <f>MIN(H71*Inputs!$D$14/12, MAX(0, C72 - D72))</f>
        <v>0</v>
      </c>
      <c r="G72" s="24">
        <f>MIN(H71, MAX(0, C72 - D72 - F72 - J72 - N72))</f>
        <v>0</v>
      </c>
      <c r="H72" s="24">
        <f>MAX(0, H71 - G72)</f>
        <v>0</v>
      </c>
      <c r="I72" s="23">
        <f>IF(B72 &gt;= (H71+L71)*Inputs!$C$28, TRUE, FALSE)</f>
        <v>0</v>
      </c>
      <c r="J72" s="25">
        <f>IF(AND(E72=TRUE, A72&lt;=Inputs!$C$20), MIN(L71*Inputs!$D$15/12, MAX(0, C72 - D72 - F72)), 0)</f>
        <v>0</v>
      </c>
      <c r="K72" s="25">
        <f>IF(H72=0, MIN(L71, MAX(0, C72 - D72 - F72 - J72 - N72 - G72)), 0)</f>
        <v>0</v>
      </c>
      <c r="L72" s="25">
        <f>MAX(0, L71 - K72)</f>
        <v>0</v>
      </c>
      <c r="M72" s="23">
        <f>IF(B72 &gt;= (H71+L71+P71)*Inputs!$C$29, TRUE, FALSE)</f>
        <v>0</v>
      </c>
      <c r="N72" s="26">
        <f>IF(AND(I72=TRUE, A72&lt;=Inputs!$C$20), MIN(P71*Inputs!$D$16/12, MAX(0, C72 - D72 - F72 - J72)), 0)</f>
        <v>0</v>
      </c>
      <c r="O72" s="26">
        <f>IF(AND(H72=0, L72=0), MIN(P71, MAX(0, C72 - D72 - F72 - J72 - N72 - G72 - K72)), 0)</f>
        <v>0</v>
      </c>
      <c r="P72" s="26">
        <f>MAX(0, P71 - O72)</f>
        <v>0</v>
      </c>
      <c r="Q72" s="16">
        <f>IF(AND(E72=TRUE, I72=TRUE, M72=TRUE, A72&lt;=Inputs!$C$20), R72, 0)</f>
        <v>0</v>
      </c>
      <c r="R72" s="16">
        <f>MAX(0, C72 - D72 - F72 - J72 - N72 - G72 - K72 - O72)</f>
        <v>0</v>
      </c>
      <c r="S72" s="27">
        <f>IF(ABS(D72+(F72+J72+N72)+(G72+K72+O72)+R72-C72)&lt;1, "OK", "ERR")</f>
        <v>0</v>
      </c>
      <c r="T72" s="28">
        <f>EDATE($T$2, A72)</f>
        <v>0</v>
      </c>
      <c r="U72" s="16">
        <f>F72+G72</f>
        <v>0</v>
      </c>
      <c r="V72" s="16">
        <f>J72+K72</f>
        <v>0</v>
      </c>
      <c r="W72" s="16">
        <f>N72+O72</f>
        <v>0</v>
      </c>
    </row>
    <row r="73" spans="1:23">
      <c r="A73">
        <v>71</v>
      </c>
      <c r="B73" s="16">
        <f>'Asset Side'!B72</f>
        <v>0</v>
      </c>
      <c r="C73" s="16">
        <f>'Asset Side'!J73+'Asset Side'!K73</f>
        <v>0</v>
      </c>
      <c r="D73" s="16">
        <f>MIN(C73, B72*Inputs!$C$21/12)</f>
        <v>0</v>
      </c>
      <c r="E73" s="23">
        <f>IF(AND(B73 &gt;= H72*Inputs!$C$27, Inputs!$C$31&lt;&gt;"Yes"), TRUE, FALSE)</f>
        <v>0</v>
      </c>
      <c r="F73" s="24">
        <f>MIN(H72*Inputs!$D$14/12, MAX(0, C73 - D73))</f>
        <v>0</v>
      </c>
      <c r="G73" s="24">
        <f>MIN(H72, MAX(0, C73 - D73 - F73 - J73 - N73))</f>
        <v>0</v>
      </c>
      <c r="H73" s="24">
        <f>MAX(0, H72 - G73)</f>
        <v>0</v>
      </c>
      <c r="I73" s="23">
        <f>IF(B73 &gt;= (H72+L72)*Inputs!$C$28, TRUE, FALSE)</f>
        <v>0</v>
      </c>
      <c r="J73" s="25">
        <f>IF(AND(E73=TRUE, A73&lt;=Inputs!$C$20), MIN(L72*Inputs!$D$15/12, MAX(0, C73 - D73 - F73)), 0)</f>
        <v>0</v>
      </c>
      <c r="K73" s="25">
        <f>IF(H73=0, MIN(L72, MAX(0, C73 - D73 - F73 - J73 - N73 - G73)), 0)</f>
        <v>0</v>
      </c>
      <c r="L73" s="25">
        <f>MAX(0, L72 - K73)</f>
        <v>0</v>
      </c>
      <c r="M73" s="23">
        <f>IF(B73 &gt;= (H72+L72+P72)*Inputs!$C$29, TRUE, FALSE)</f>
        <v>0</v>
      </c>
      <c r="N73" s="26">
        <f>IF(AND(I73=TRUE, A73&lt;=Inputs!$C$20), MIN(P72*Inputs!$D$16/12, MAX(0, C73 - D73 - F73 - J73)), 0)</f>
        <v>0</v>
      </c>
      <c r="O73" s="26">
        <f>IF(AND(H73=0, L73=0), MIN(P72, MAX(0, C73 - D73 - F73 - J73 - N73 - G73 - K73)), 0)</f>
        <v>0</v>
      </c>
      <c r="P73" s="26">
        <f>MAX(0, P72 - O73)</f>
        <v>0</v>
      </c>
      <c r="Q73" s="16">
        <f>IF(AND(E73=TRUE, I73=TRUE, M73=TRUE, A73&lt;=Inputs!$C$20), R73, 0)</f>
        <v>0</v>
      </c>
      <c r="R73" s="16">
        <f>MAX(0, C73 - D73 - F73 - J73 - N73 - G73 - K73 - O73)</f>
        <v>0</v>
      </c>
      <c r="S73" s="27">
        <f>IF(ABS(D73+(F73+J73+N73)+(G73+K73+O73)+R73-C73)&lt;1, "OK", "ERR")</f>
        <v>0</v>
      </c>
      <c r="T73" s="28">
        <f>EDATE($T$2, A73)</f>
        <v>0</v>
      </c>
      <c r="U73" s="16">
        <f>F73+G73</f>
        <v>0</v>
      </c>
      <c r="V73" s="16">
        <f>J73+K73</f>
        <v>0</v>
      </c>
      <c r="W73" s="16">
        <f>N73+O73</f>
        <v>0</v>
      </c>
    </row>
    <row r="74" spans="1:23">
      <c r="A74">
        <v>72</v>
      </c>
      <c r="B74" s="16">
        <f>'Asset Side'!B73</f>
        <v>0</v>
      </c>
      <c r="C74" s="16">
        <f>'Asset Side'!J74+'Asset Side'!K74</f>
        <v>0</v>
      </c>
      <c r="D74" s="16">
        <f>MIN(C74, B73*Inputs!$C$21/12)</f>
        <v>0</v>
      </c>
      <c r="E74" s="23">
        <f>IF(AND(B74 &gt;= H73*Inputs!$C$27, Inputs!$C$31&lt;&gt;"Yes"), TRUE, FALSE)</f>
        <v>0</v>
      </c>
      <c r="F74" s="24">
        <f>MIN(H73*Inputs!$D$14/12, MAX(0, C74 - D74))</f>
        <v>0</v>
      </c>
      <c r="G74" s="24">
        <f>MIN(H73, MAX(0, C74 - D74 - F74 - J74 - N74))</f>
        <v>0</v>
      </c>
      <c r="H74" s="24">
        <f>MAX(0, H73 - G74)</f>
        <v>0</v>
      </c>
      <c r="I74" s="23">
        <f>IF(B74 &gt;= (H73+L73)*Inputs!$C$28, TRUE, FALSE)</f>
        <v>0</v>
      </c>
      <c r="J74" s="25">
        <f>IF(AND(E74=TRUE, A74&lt;=Inputs!$C$20), MIN(L73*Inputs!$D$15/12, MAX(0, C74 - D74 - F74)), 0)</f>
        <v>0</v>
      </c>
      <c r="K74" s="25">
        <f>IF(H74=0, MIN(L73, MAX(0, C74 - D74 - F74 - J74 - N74 - G74)), 0)</f>
        <v>0</v>
      </c>
      <c r="L74" s="25">
        <f>MAX(0, L73 - K74)</f>
        <v>0</v>
      </c>
      <c r="M74" s="23">
        <f>IF(B74 &gt;= (H73+L73+P73)*Inputs!$C$29, TRUE, FALSE)</f>
        <v>0</v>
      </c>
      <c r="N74" s="26">
        <f>IF(AND(I74=TRUE, A74&lt;=Inputs!$C$20), MIN(P73*Inputs!$D$16/12, MAX(0, C74 - D74 - F74 - J74)), 0)</f>
        <v>0</v>
      </c>
      <c r="O74" s="26">
        <f>IF(AND(H74=0, L74=0), MIN(P73, MAX(0, C74 - D74 - F74 - J74 - N74 - G74 - K74)), 0)</f>
        <v>0</v>
      </c>
      <c r="P74" s="26">
        <f>MAX(0, P73 - O74)</f>
        <v>0</v>
      </c>
      <c r="Q74" s="16">
        <f>IF(AND(E74=TRUE, I74=TRUE, M74=TRUE, A74&lt;=Inputs!$C$20), R74, 0)</f>
        <v>0</v>
      </c>
      <c r="R74" s="16">
        <f>MAX(0, C74 - D74 - F74 - J74 - N74 - G74 - K74 - O74)</f>
        <v>0</v>
      </c>
      <c r="S74" s="27">
        <f>IF(ABS(D74+(F74+J74+N74)+(G74+K74+O74)+R74-C74)&lt;1, "OK", "ERR")</f>
        <v>0</v>
      </c>
      <c r="T74" s="28">
        <f>EDATE($T$2, A74)</f>
        <v>0</v>
      </c>
      <c r="U74" s="16">
        <f>F74+G74</f>
        <v>0</v>
      </c>
      <c r="V74" s="16">
        <f>J74+K74</f>
        <v>0</v>
      </c>
      <c r="W74" s="16">
        <f>N74+O74</f>
        <v>0</v>
      </c>
    </row>
    <row r="75" spans="1:23">
      <c r="A75">
        <v>73</v>
      </c>
      <c r="B75" s="16">
        <f>'Asset Side'!B74</f>
        <v>0</v>
      </c>
      <c r="C75" s="16">
        <f>'Asset Side'!J75+'Asset Side'!K75</f>
        <v>0</v>
      </c>
      <c r="D75" s="16">
        <f>MIN(C75, B74*Inputs!$C$21/12)</f>
        <v>0</v>
      </c>
      <c r="E75" s="23">
        <f>IF(AND(B75 &gt;= H74*Inputs!$C$27, Inputs!$C$31&lt;&gt;"Yes"), TRUE, FALSE)</f>
        <v>0</v>
      </c>
      <c r="F75" s="24">
        <f>MIN(H74*Inputs!$D$14/12, MAX(0, C75 - D75))</f>
        <v>0</v>
      </c>
      <c r="G75" s="24">
        <f>MIN(H74, MAX(0, C75 - D75 - F75 - J75 - N75))</f>
        <v>0</v>
      </c>
      <c r="H75" s="24">
        <f>MAX(0, H74 - G75)</f>
        <v>0</v>
      </c>
      <c r="I75" s="23">
        <f>IF(B75 &gt;= (H74+L74)*Inputs!$C$28, TRUE, FALSE)</f>
        <v>0</v>
      </c>
      <c r="J75" s="25">
        <f>IF(AND(E75=TRUE, A75&lt;=Inputs!$C$20), MIN(L74*Inputs!$D$15/12, MAX(0, C75 - D75 - F75)), 0)</f>
        <v>0</v>
      </c>
      <c r="K75" s="25">
        <f>IF(H75=0, MIN(L74, MAX(0, C75 - D75 - F75 - J75 - N75 - G75)), 0)</f>
        <v>0</v>
      </c>
      <c r="L75" s="25">
        <f>MAX(0, L74 - K75)</f>
        <v>0</v>
      </c>
      <c r="M75" s="23">
        <f>IF(B75 &gt;= (H74+L74+P74)*Inputs!$C$29, TRUE, FALSE)</f>
        <v>0</v>
      </c>
      <c r="N75" s="26">
        <f>IF(AND(I75=TRUE, A75&lt;=Inputs!$C$20), MIN(P74*Inputs!$D$16/12, MAX(0, C75 - D75 - F75 - J75)), 0)</f>
        <v>0</v>
      </c>
      <c r="O75" s="26">
        <f>IF(AND(H75=0, L75=0), MIN(P74, MAX(0, C75 - D75 - F75 - J75 - N75 - G75 - K75)), 0)</f>
        <v>0</v>
      </c>
      <c r="P75" s="26">
        <f>MAX(0, P74 - O75)</f>
        <v>0</v>
      </c>
      <c r="Q75" s="16">
        <f>IF(AND(E75=TRUE, I75=TRUE, M75=TRUE, A75&lt;=Inputs!$C$20), R75, 0)</f>
        <v>0</v>
      </c>
      <c r="R75" s="16">
        <f>MAX(0, C75 - D75 - F75 - J75 - N75 - G75 - K75 - O75)</f>
        <v>0</v>
      </c>
      <c r="S75" s="27">
        <f>IF(ABS(D75+(F75+J75+N75)+(G75+K75+O75)+R75-C75)&lt;1, "OK", "ERR")</f>
        <v>0</v>
      </c>
      <c r="T75" s="28">
        <f>EDATE($T$2, A75)</f>
        <v>0</v>
      </c>
      <c r="U75" s="16">
        <f>F75+G75</f>
        <v>0</v>
      </c>
      <c r="V75" s="16">
        <f>J75+K75</f>
        <v>0</v>
      </c>
      <c r="W75" s="16">
        <f>N75+O75</f>
        <v>0</v>
      </c>
    </row>
    <row r="76" spans="1:23">
      <c r="A76">
        <v>74</v>
      </c>
      <c r="B76" s="16">
        <f>'Asset Side'!B75</f>
        <v>0</v>
      </c>
      <c r="C76" s="16">
        <f>'Asset Side'!J76+'Asset Side'!K76</f>
        <v>0</v>
      </c>
      <c r="D76" s="16">
        <f>MIN(C76, B75*Inputs!$C$21/12)</f>
        <v>0</v>
      </c>
      <c r="E76" s="23">
        <f>IF(AND(B76 &gt;= H75*Inputs!$C$27, Inputs!$C$31&lt;&gt;"Yes"), TRUE, FALSE)</f>
        <v>0</v>
      </c>
      <c r="F76" s="24">
        <f>MIN(H75*Inputs!$D$14/12, MAX(0, C76 - D76))</f>
        <v>0</v>
      </c>
      <c r="G76" s="24">
        <f>MIN(H75, MAX(0, C76 - D76 - F76 - J76 - N76))</f>
        <v>0</v>
      </c>
      <c r="H76" s="24">
        <f>MAX(0, H75 - G76)</f>
        <v>0</v>
      </c>
      <c r="I76" s="23">
        <f>IF(B76 &gt;= (H75+L75)*Inputs!$C$28, TRUE, FALSE)</f>
        <v>0</v>
      </c>
      <c r="J76" s="25">
        <f>IF(AND(E76=TRUE, A76&lt;=Inputs!$C$20), MIN(L75*Inputs!$D$15/12, MAX(0, C76 - D76 - F76)), 0)</f>
        <v>0</v>
      </c>
      <c r="K76" s="25">
        <f>IF(H76=0, MIN(L75, MAX(0, C76 - D76 - F76 - J76 - N76 - G76)), 0)</f>
        <v>0</v>
      </c>
      <c r="L76" s="25">
        <f>MAX(0, L75 - K76)</f>
        <v>0</v>
      </c>
      <c r="M76" s="23">
        <f>IF(B76 &gt;= (H75+L75+P75)*Inputs!$C$29, TRUE, FALSE)</f>
        <v>0</v>
      </c>
      <c r="N76" s="26">
        <f>IF(AND(I76=TRUE, A76&lt;=Inputs!$C$20), MIN(P75*Inputs!$D$16/12, MAX(0, C76 - D76 - F76 - J76)), 0)</f>
        <v>0</v>
      </c>
      <c r="O76" s="26">
        <f>IF(AND(H76=0, L76=0), MIN(P75, MAX(0, C76 - D76 - F76 - J76 - N76 - G76 - K76)), 0)</f>
        <v>0</v>
      </c>
      <c r="P76" s="26">
        <f>MAX(0, P75 - O76)</f>
        <v>0</v>
      </c>
      <c r="Q76" s="16">
        <f>IF(AND(E76=TRUE, I76=TRUE, M76=TRUE, A76&lt;=Inputs!$C$20), R76, 0)</f>
        <v>0</v>
      </c>
      <c r="R76" s="16">
        <f>MAX(0, C76 - D76 - F76 - J76 - N76 - G76 - K76 - O76)</f>
        <v>0</v>
      </c>
      <c r="S76" s="27">
        <f>IF(ABS(D76+(F76+J76+N76)+(G76+K76+O76)+R76-C76)&lt;1, "OK", "ERR")</f>
        <v>0</v>
      </c>
      <c r="T76" s="28">
        <f>EDATE($T$2, A76)</f>
        <v>0</v>
      </c>
      <c r="U76" s="16">
        <f>F76+G76</f>
        <v>0</v>
      </c>
      <c r="V76" s="16">
        <f>J76+K76</f>
        <v>0</v>
      </c>
      <c r="W76" s="16">
        <f>N76+O76</f>
        <v>0</v>
      </c>
    </row>
    <row r="77" spans="1:23">
      <c r="A77">
        <v>75</v>
      </c>
      <c r="B77" s="16">
        <f>'Asset Side'!B76</f>
        <v>0</v>
      </c>
      <c r="C77" s="16">
        <f>'Asset Side'!J77+'Asset Side'!K77</f>
        <v>0</v>
      </c>
      <c r="D77" s="16">
        <f>MIN(C77, B76*Inputs!$C$21/12)</f>
        <v>0</v>
      </c>
      <c r="E77" s="23">
        <f>IF(AND(B77 &gt;= H76*Inputs!$C$27, Inputs!$C$31&lt;&gt;"Yes"), TRUE, FALSE)</f>
        <v>0</v>
      </c>
      <c r="F77" s="24">
        <f>MIN(H76*Inputs!$D$14/12, MAX(0, C77 - D77))</f>
        <v>0</v>
      </c>
      <c r="G77" s="24">
        <f>MIN(H76, MAX(0, C77 - D77 - F77 - J77 - N77))</f>
        <v>0</v>
      </c>
      <c r="H77" s="24">
        <f>MAX(0, H76 - G77)</f>
        <v>0</v>
      </c>
      <c r="I77" s="23">
        <f>IF(B77 &gt;= (H76+L76)*Inputs!$C$28, TRUE, FALSE)</f>
        <v>0</v>
      </c>
      <c r="J77" s="25">
        <f>IF(AND(E77=TRUE, A77&lt;=Inputs!$C$20), MIN(L76*Inputs!$D$15/12, MAX(0, C77 - D77 - F77)), 0)</f>
        <v>0</v>
      </c>
      <c r="K77" s="25">
        <f>IF(H77=0, MIN(L76, MAX(0, C77 - D77 - F77 - J77 - N77 - G77)), 0)</f>
        <v>0</v>
      </c>
      <c r="L77" s="25">
        <f>MAX(0, L76 - K77)</f>
        <v>0</v>
      </c>
      <c r="M77" s="23">
        <f>IF(B77 &gt;= (H76+L76+P76)*Inputs!$C$29, TRUE, FALSE)</f>
        <v>0</v>
      </c>
      <c r="N77" s="26">
        <f>IF(AND(I77=TRUE, A77&lt;=Inputs!$C$20), MIN(P76*Inputs!$D$16/12, MAX(0, C77 - D77 - F77 - J77)), 0)</f>
        <v>0</v>
      </c>
      <c r="O77" s="26">
        <f>IF(AND(H77=0, L77=0), MIN(P76, MAX(0, C77 - D77 - F77 - J77 - N77 - G77 - K77)), 0)</f>
        <v>0</v>
      </c>
      <c r="P77" s="26">
        <f>MAX(0, P76 - O77)</f>
        <v>0</v>
      </c>
      <c r="Q77" s="16">
        <f>IF(AND(E77=TRUE, I77=TRUE, M77=TRUE, A77&lt;=Inputs!$C$20), R77, 0)</f>
        <v>0</v>
      </c>
      <c r="R77" s="16">
        <f>MAX(0, C77 - D77 - F77 - J77 - N77 - G77 - K77 - O77)</f>
        <v>0</v>
      </c>
      <c r="S77" s="27">
        <f>IF(ABS(D77+(F77+J77+N77)+(G77+K77+O77)+R77-C77)&lt;1, "OK", "ERR")</f>
        <v>0</v>
      </c>
      <c r="T77" s="28">
        <f>EDATE($T$2, A77)</f>
        <v>0</v>
      </c>
      <c r="U77" s="16">
        <f>F77+G77</f>
        <v>0</v>
      </c>
      <c r="V77" s="16">
        <f>J77+K77</f>
        <v>0</v>
      </c>
      <c r="W77" s="16">
        <f>N77+O77</f>
        <v>0</v>
      </c>
    </row>
    <row r="78" spans="1:23">
      <c r="A78">
        <v>76</v>
      </c>
      <c r="B78" s="16">
        <f>'Asset Side'!B77</f>
        <v>0</v>
      </c>
      <c r="C78" s="16">
        <f>'Asset Side'!J78+'Asset Side'!K78</f>
        <v>0</v>
      </c>
      <c r="D78" s="16">
        <f>MIN(C78, B77*Inputs!$C$21/12)</f>
        <v>0</v>
      </c>
      <c r="E78" s="23">
        <f>IF(AND(B78 &gt;= H77*Inputs!$C$27, Inputs!$C$31&lt;&gt;"Yes"), TRUE, FALSE)</f>
        <v>0</v>
      </c>
      <c r="F78" s="24">
        <f>MIN(H77*Inputs!$D$14/12, MAX(0, C78 - D78))</f>
        <v>0</v>
      </c>
      <c r="G78" s="24">
        <f>MIN(H77, MAX(0, C78 - D78 - F78 - J78 - N78))</f>
        <v>0</v>
      </c>
      <c r="H78" s="24">
        <f>MAX(0, H77 - G78)</f>
        <v>0</v>
      </c>
      <c r="I78" s="23">
        <f>IF(B78 &gt;= (H77+L77)*Inputs!$C$28, TRUE, FALSE)</f>
        <v>0</v>
      </c>
      <c r="J78" s="25">
        <f>IF(AND(E78=TRUE, A78&lt;=Inputs!$C$20), MIN(L77*Inputs!$D$15/12, MAX(0, C78 - D78 - F78)), 0)</f>
        <v>0</v>
      </c>
      <c r="K78" s="25">
        <f>IF(H78=0, MIN(L77, MAX(0, C78 - D78 - F78 - J78 - N78 - G78)), 0)</f>
        <v>0</v>
      </c>
      <c r="L78" s="25">
        <f>MAX(0, L77 - K78)</f>
        <v>0</v>
      </c>
      <c r="M78" s="23">
        <f>IF(B78 &gt;= (H77+L77+P77)*Inputs!$C$29, TRUE, FALSE)</f>
        <v>0</v>
      </c>
      <c r="N78" s="26">
        <f>IF(AND(I78=TRUE, A78&lt;=Inputs!$C$20), MIN(P77*Inputs!$D$16/12, MAX(0, C78 - D78 - F78 - J78)), 0)</f>
        <v>0</v>
      </c>
      <c r="O78" s="26">
        <f>IF(AND(H78=0, L78=0), MIN(P77, MAX(0, C78 - D78 - F78 - J78 - N78 - G78 - K78)), 0)</f>
        <v>0</v>
      </c>
      <c r="P78" s="26">
        <f>MAX(0, P77 - O78)</f>
        <v>0</v>
      </c>
      <c r="Q78" s="16">
        <f>IF(AND(E78=TRUE, I78=TRUE, M78=TRUE, A78&lt;=Inputs!$C$20), R78, 0)</f>
        <v>0</v>
      </c>
      <c r="R78" s="16">
        <f>MAX(0, C78 - D78 - F78 - J78 - N78 - G78 - K78 - O78)</f>
        <v>0</v>
      </c>
      <c r="S78" s="27">
        <f>IF(ABS(D78+(F78+J78+N78)+(G78+K78+O78)+R78-C78)&lt;1, "OK", "ERR")</f>
        <v>0</v>
      </c>
      <c r="T78" s="28">
        <f>EDATE($T$2, A78)</f>
        <v>0</v>
      </c>
      <c r="U78" s="16">
        <f>F78+G78</f>
        <v>0</v>
      </c>
      <c r="V78" s="16">
        <f>J78+K78</f>
        <v>0</v>
      </c>
      <c r="W78" s="16">
        <f>N78+O78</f>
        <v>0</v>
      </c>
    </row>
    <row r="79" spans="1:23">
      <c r="A79">
        <v>77</v>
      </c>
      <c r="B79" s="16">
        <f>'Asset Side'!B78</f>
        <v>0</v>
      </c>
      <c r="C79" s="16">
        <f>'Asset Side'!J79+'Asset Side'!K79</f>
        <v>0</v>
      </c>
      <c r="D79" s="16">
        <f>MIN(C79, B78*Inputs!$C$21/12)</f>
        <v>0</v>
      </c>
      <c r="E79" s="23">
        <f>IF(AND(B79 &gt;= H78*Inputs!$C$27, Inputs!$C$31&lt;&gt;"Yes"), TRUE, FALSE)</f>
        <v>0</v>
      </c>
      <c r="F79" s="24">
        <f>MIN(H78*Inputs!$D$14/12, MAX(0, C79 - D79))</f>
        <v>0</v>
      </c>
      <c r="G79" s="24">
        <f>MIN(H78, MAX(0, C79 - D79 - F79 - J79 - N79))</f>
        <v>0</v>
      </c>
      <c r="H79" s="24">
        <f>MAX(0, H78 - G79)</f>
        <v>0</v>
      </c>
      <c r="I79" s="23">
        <f>IF(B79 &gt;= (H78+L78)*Inputs!$C$28, TRUE, FALSE)</f>
        <v>0</v>
      </c>
      <c r="J79" s="25">
        <f>IF(AND(E79=TRUE, A79&lt;=Inputs!$C$20), MIN(L78*Inputs!$D$15/12, MAX(0, C79 - D79 - F79)), 0)</f>
        <v>0</v>
      </c>
      <c r="K79" s="25">
        <f>IF(H79=0, MIN(L78, MAX(0, C79 - D79 - F79 - J79 - N79 - G79)), 0)</f>
        <v>0</v>
      </c>
      <c r="L79" s="25">
        <f>MAX(0, L78 - K79)</f>
        <v>0</v>
      </c>
      <c r="M79" s="23">
        <f>IF(B79 &gt;= (H78+L78+P78)*Inputs!$C$29, TRUE, FALSE)</f>
        <v>0</v>
      </c>
      <c r="N79" s="26">
        <f>IF(AND(I79=TRUE, A79&lt;=Inputs!$C$20), MIN(P78*Inputs!$D$16/12, MAX(0, C79 - D79 - F79 - J79)), 0)</f>
        <v>0</v>
      </c>
      <c r="O79" s="26">
        <f>IF(AND(H79=0, L79=0), MIN(P78, MAX(0, C79 - D79 - F79 - J79 - N79 - G79 - K79)), 0)</f>
        <v>0</v>
      </c>
      <c r="P79" s="26">
        <f>MAX(0, P78 - O79)</f>
        <v>0</v>
      </c>
      <c r="Q79" s="16">
        <f>IF(AND(E79=TRUE, I79=TRUE, M79=TRUE, A79&lt;=Inputs!$C$20), R79, 0)</f>
        <v>0</v>
      </c>
      <c r="R79" s="16">
        <f>MAX(0, C79 - D79 - F79 - J79 - N79 - G79 - K79 - O79)</f>
        <v>0</v>
      </c>
      <c r="S79" s="27">
        <f>IF(ABS(D79+(F79+J79+N79)+(G79+K79+O79)+R79-C79)&lt;1, "OK", "ERR")</f>
        <v>0</v>
      </c>
      <c r="T79" s="28">
        <f>EDATE($T$2, A79)</f>
        <v>0</v>
      </c>
      <c r="U79" s="16">
        <f>F79+G79</f>
        <v>0</v>
      </c>
      <c r="V79" s="16">
        <f>J79+K79</f>
        <v>0</v>
      </c>
      <c r="W79" s="16">
        <f>N79+O79</f>
        <v>0</v>
      </c>
    </row>
    <row r="80" spans="1:23">
      <c r="A80">
        <v>78</v>
      </c>
      <c r="B80" s="16">
        <f>'Asset Side'!B79</f>
        <v>0</v>
      </c>
      <c r="C80" s="16">
        <f>'Asset Side'!J80+'Asset Side'!K80</f>
        <v>0</v>
      </c>
      <c r="D80" s="16">
        <f>MIN(C80, B79*Inputs!$C$21/12)</f>
        <v>0</v>
      </c>
      <c r="E80" s="23">
        <f>IF(AND(B80 &gt;= H79*Inputs!$C$27, Inputs!$C$31&lt;&gt;"Yes"), TRUE, FALSE)</f>
        <v>0</v>
      </c>
      <c r="F80" s="24">
        <f>MIN(H79*Inputs!$D$14/12, MAX(0, C80 - D80))</f>
        <v>0</v>
      </c>
      <c r="G80" s="24">
        <f>MIN(H79, MAX(0, C80 - D80 - F80 - J80 - N80))</f>
        <v>0</v>
      </c>
      <c r="H80" s="24">
        <f>MAX(0, H79 - G80)</f>
        <v>0</v>
      </c>
      <c r="I80" s="23">
        <f>IF(B80 &gt;= (H79+L79)*Inputs!$C$28, TRUE, FALSE)</f>
        <v>0</v>
      </c>
      <c r="J80" s="25">
        <f>IF(AND(E80=TRUE, A80&lt;=Inputs!$C$20), MIN(L79*Inputs!$D$15/12, MAX(0, C80 - D80 - F80)), 0)</f>
        <v>0</v>
      </c>
      <c r="K80" s="25">
        <f>IF(H80=0, MIN(L79, MAX(0, C80 - D80 - F80 - J80 - N80 - G80)), 0)</f>
        <v>0</v>
      </c>
      <c r="L80" s="25">
        <f>MAX(0, L79 - K80)</f>
        <v>0</v>
      </c>
      <c r="M80" s="23">
        <f>IF(B80 &gt;= (H79+L79+P79)*Inputs!$C$29, TRUE, FALSE)</f>
        <v>0</v>
      </c>
      <c r="N80" s="26">
        <f>IF(AND(I80=TRUE, A80&lt;=Inputs!$C$20), MIN(P79*Inputs!$D$16/12, MAX(0, C80 - D80 - F80 - J80)), 0)</f>
        <v>0</v>
      </c>
      <c r="O80" s="26">
        <f>IF(AND(H80=0, L80=0), MIN(P79, MAX(0, C80 - D80 - F80 - J80 - N80 - G80 - K80)), 0)</f>
        <v>0</v>
      </c>
      <c r="P80" s="26">
        <f>MAX(0, P79 - O80)</f>
        <v>0</v>
      </c>
      <c r="Q80" s="16">
        <f>IF(AND(E80=TRUE, I80=TRUE, M80=TRUE, A80&lt;=Inputs!$C$20), R80, 0)</f>
        <v>0</v>
      </c>
      <c r="R80" s="16">
        <f>MAX(0, C80 - D80 - F80 - J80 - N80 - G80 - K80 - O80)</f>
        <v>0</v>
      </c>
      <c r="S80" s="27">
        <f>IF(ABS(D80+(F80+J80+N80)+(G80+K80+O80)+R80-C80)&lt;1, "OK", "ERR")</f>
        <v>0</v>
      </c>
      <c r="T80" s="28">
        <f>EDATE($T$2, A80)</f>
        <v>0</v>
      </c>
      <c r="U80" s="16">
        <f>F80+G80</f>
        <v>0</v>
      </c>
      <c r="V80" s="16">
        <f>J80+K80</f>
        <v>0</v>
      </c>
      <c r="W80" s="16">
        <f>N80+O80</f>
        <v>0</v>
      </c>
    </row>
    <row r="81" spans="1:23">
      <c r="A81">
        <v>79</v>
      </c>
      <c r="B81" s="16">
        <f>'Asset Side'!B80</f>
        <v>0</v>
      </c>
      <c r="C81" s="16">
        <f>'Asset Side'!J81+'Asset Side'!K81</f>
        <v>0</v>
      </c>
      <c r="D81" s="16">
        <f>MIN(C81, B80*Inputs!$C$21/12)</f>
        <v>0</v>
      </c>
      <c r="E81" s="23">
        <f>IF(AND(B81 &gt;= H80*Inputs!$C$27, Inputs!$C$31&lt;&gt;"Yes"), TRUE, FALSE)</f>
        <v>0</v>
      </c>
      <c r="F81" s="24">
        <f>MIN(H80*Inputs!$D$14/12, MAX(0, C81 - D81))</f>
        <v>0</v>
      </c>
      <c r="G81" s="24">
        <f>MIN(H80, MAX(0, C81 - D81 - F81 - J81 - N81))</f>
        <v>0</v>
      </c>
      <c r="H81" s="24">
        <f>MAX(0, H80 - G81)</f>
        <v>0</v>
      </c>
      <c r="I81" s="23">
        <f>IF(B81 &gt;= (H80+L80)*Inputs!$C$28, TRUE, FALSE)</f>
        <v>0</v>
      </c>
      <c r="J81" s="25">
        <f>IF(AND(E81=TRUE, A81&lt;=Inputs!$C$20), MIN(L80*Inputs!$D$15/12, MAX(0, C81 - D81 - F81)), 0)</f>
        <v>0</v>
      </c>
      <c r="K81" s="25">
        <f>IF(H81=0, MIN(L80, MAX(0, C81 - D81 - F81 - J81 - N81 - G81)), 0)</f>
        <v>0</v>
      </c>
      <c r="L81" s="25">
        <f>MAX(0, L80 - K81)</f>
        <v>0</v>
      </c>
      <c r="M81" s="23">
        <f>IF(B81 &gt;= (H80+L80+P80)*Inputs!$C$29, TRUE, FALSE)</f>
        <v>0</v>
      </c>
      <c r="N81" s="26">
        <f>IF(AND(I81=TRUE, A81&lt;=Inputs!$C$20), MIN(P80*Inputs!$D$16/12, MAX(0, C81 - D81 - F81 - J81)), 0)</f>
        <v>0</v>
      </c>
      <c r="O81" s="26">
        <f>IF(AND(H81=0, L81=0), MIN(P80, MAX(0, C81 - D81 - F81 - J81 - N81 - G81 - K81)), 0)</f>
        <v>0</v>
      </c>
      <c r="P81" s="26">
        <f>MAX(0, P80 - O81)</f>
        <v>0</v>
      </c>
      <c r="Q81" s="16">
        <f>IF(AND(E81=TRUE, I81=TRUE, M81=TRUE, A81&lt;=Inputs!$C$20), R81, 0)</f>
        <v>0</v>
      </c>
      <c r="R81" s="16">
        <f>MAX(0, C81 - D81 - F81 - J81 - N81 - G81 - K81 - O81)</f>
        <v>0</v>
      </c>
      <c r="S81" s="27">
        <f>IF(ABS(D81+(F81+J81+N81)+(G81+K81+O81)+R81-C81)&lt;1, "OK", "ERR")</f>
        <v>0</v>
      </c>
      <c r="T81" s="28">
        <f>EDATE($T$2, A81)</f>
        <v>0</v>
      </c>
      <c r="U81" s="16">
        <f>F81+G81</f>
        <v>0</v>
      </c>
      <c r="V81" s="16">
        <f>J81+K81</f>
        <v>0</v>
      </c>
      <c r="W81" s="16">
        <f>N81+O81</f>
        <v>0</v>
      </c>
    </row>
    <row r="82" spans="1:23">
      <c r="A82">
        <v>80</v>
      </c>
      <c r="B82" s="16">
        <f>'Asset Side'!B81</f>
        <v>0</v>
      </c>
      <c r="C82" s="16">
        <f>'Asset Side'!J82+'Asset Side'!K82</f>
        <v>0</v>
      </c>
      <c r="D82" s="16">
        <f>MIN(C82, B81*Inputs!$C$21/12)</f>
        <v>0</v>
      </c>
      <c r="E82" s="23">
        <f>IF(AND(B82 &gt;= H81*Inputs!$C$27, Inputs!$C$31&lt;&gt;"Yes"), TRUE, FALSE)</f>
        <v>0</v>
      </c>
      <c r="F82" s="24">
        <f>MIN(H81*Inputs!$D$14/12, MAX(0, C82 - D82))</f>
        <v>0</v>
      </c>
      <c r="G82" s="24">
        <f>MIN(H81, MAX(0, C82 - D82 - F82 - J82 - N82))</f>
        <v>0</v>
      </c>
      <c r="H82" s="24">
        <f>MAX(0, H81 - G82)</f>
        <v>0</v>
      </c>
      <c r="I82" s="23">
        <f>IF(B82 &gt;= (H81+L81)*Inputs!$C$28, TRUE, FALSE)</f>
        <v>0</v>
      </c>
      <c r="J82" s="25">
        <f>IF(AND(E82=TRUE, A82&lt;=Inputs!$C$20), MIN(L81*Inputs!$D$15/12, MAX(0, C82 - D82 - F82)), 0)</f>
        <v>0</v>
      </c>
      <c r="K82" s="25">
        <f>IF(H82=0, MIN(L81, MAX(0, C82 - D82 - F82 - J82 - N82 - G82)), 0)</f>
        <v>0</v>
      </c>
      <c r="L82" s="25">
        <f>MAX(0, L81 - K82)</f>
        <v>0</v>
      </c>
      <c r="M82" s="23">
        <f>IF(B82 &gt;= (H81+L81+P81)*Inputs!$C$29, TRUE, FALSE)</f>
        <v>0</v>
      </c>
      <c r="N82" s="26">
        <f>IF(AND(I82=TRUE, A82&lt;=Inputs!$C$20), MIN(P81*Inputs!$D$16/12, MAX(0, C82 - D82 - F82 - J82)), 0)</f>
        <v>0</v>
      </c>
      <c r="O82" s="26">
        <f>IF(AND(H82=0, L82=0), MIN(P81, MAX(0, C82 - D82 - F82 - J82 - N82 - G82 - K82)), 0)</f>
        <v>0</v>
      </c>
      <c r="P82" s="26">
        <f>MAX(0, P81 - O82)</f>
        <v>0</v>
      </c>
      <c r="Q82" s="16">
        <f>IF(AND(E82=TRUE, I82=TRUE, M82=TRUE, A82&lt;=Inputs!$C$20), R82, 0)</f>
        <v>0</v>
      </c>
      <c r="R82" s="16">
        <f>MAX(0, C82 - D82 - F82 - J82 - N82 - G82 - K82 - O82)</f>
        <v>0</v>
      </c>
      <c r="S82" s="27">
        <f>IF(ABS(D82+(F82+J82+N82)+(G82+K82+O82)+R82-C82)&lt;1, "OK", "ERR")</f>
        <v>0</v>
      </c>
      <c r="T82" s="28">
        <f>EDATE($T$2, A82)</f>
        <v>0</v>
      </c>
      <c r="U82" s="16">
        <f>F82+G82</f>
        <v>0</v>
      </c>
      <c r="V82" s="16">
        <f>J82+K82</f>
        <v>0</v>
      </c>
      <c r="W82" s="16">
        <f>N82+O82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E40"/>
  <sheetViews>
    <sheetView workbookViewId="0"/>
  </sheetViews>
  <sheetFormatPr defaultRowHeight="15"/>
  <cols>
    <col min="1" max="1" width="3.7109375" customWidth="1"/>
    <col min="2" max="2" width="25.7109375" customWidth="1"/>
    <col min="3" max="5" width="12.7109375" customWidth="1"/>
  </cols>
  <sheetData>
    <row r="2" spans="2:5">
      <c r="B2" s="1" t="s">
        <v>86</v>
      </c>
    </row>
    <row r="4" spans="2:5">
      <c r="B4" s="3" t="s">
        <v>87</v>
      </c>
      <c r="C4" s="3" t="s">
        <v>88</v>
      </c>
      <c r="D4" s="3" t="s">
        <v>89</v>
      </c>
      <c r="E4" s="3" t="s">
        <v>90</v>
      </c>
    </row>
    <row r="5" spans="2:5">
      <c r="B5" s="4" t="s">
        <v>91</v>
      </c>
      <c r="C5" s="29">
        <f>Inputs!$C$6*Inputs!$C$14</f>
        <v>0</v>
      </c>
      <c r="D5" s="29">
        <f>Inputs!$C$6*Inputs!$C$15</f>
        <v>0</v>
      </c>
      <c r="E5" s="29">
        <f>Inputs!$C$6*Inputs!$C$16</f>
        <v>0</v>
      </c>
    </row>
    <row r="6" spans="2:5">
      <c r="B6" s="4" t="s">
        <v>92</v>
      </c>
      <c r="C6" s="29">
        <f>Inputs!$C$22</f>
        <v>0</v>
      </c>
      <c r="D6" s="29">
        <f>Inputs!$C$23</f>
        <v>0</v>
      </c>
      <c r="E6" s="29">
        <f>Inputs!$C$24</f>
        <v>0</v>
      </c>
    </row>
    <row r="7" spans="2:5">
      <c r="B7" s="4" t="s">
        <v>93</v>
      </c>
      <c r="C7" s="29">
        <f>C5*C6/100</f>
        <v>0</v>
      </c>
      <c r="D7" s="29">
        <f>D5*D6/100</f>
        <v>0</v>
      </c>
      <c r="E7" s="29">
        <f>E5*E6/100</f>
        <v>0</v>
      </c>
    </row>
    <row r="8" spans="2:5">
      <c r="B8" s="4" t="s">
        <v>94</v>
      </c>
      <c r="C8" s="29">
        <f>SUM(Waterfall!F:F)+SUM(Waterfall!G:G)</f>
        <v>0</v>
      </c>
      <c r="D8" s="29">
        <f>SUM(Waterfall!J:J)+SUM(Waterfall!K:K)</f>
        <v>0</v>
      </c>
      <c r="E8" s="29">
        <f>SUM(Waterfall!N:N)+SUM(Waterfall!O:O)</f>
        <v>0</v>
      </c>
    </row>
    <row r="9" spans="2:5">
      <c r="B9" s="4" t="s">
        <v>95</v>
      </c>
      <c r="C9" s="29">
        <f>C8-C7</f>
        <v>0</v>
      </c>
      <c r="D9" s="29">
        <f>D8-D7</f>
        <v>0</v>
      </c>
      <c r="E9" s="29">
        <f>E8-E7</f>
        <v>0</v>
      </c>
    </row>
    <row r="11" spans="2:5">
      <c r="B11" s="4" t="s">
        <v>96</v>
      </c>
      <c r="C11" s="30">
        <f>IFERROR(XIRR(Waterfall!U2:U82, Waterfall!T2:T82), "N/A")</f>
        <v>0</v>
      </c>
      <c r="D11" s="30">
        <f>IFERROR(XIRR(Waterfall!V2:V82, Waterfall!T2:T82), "N/A")</f>
        <v>0</v>
      </c>
      <c r="E11" s="30">
        <f>IFERROR(XIRR(Waterfall!W2:W82, Waterfall!T2:T82), "N/A")</f>
        <v>0</v>
      </c>
    </row>
    <row r="12" spans="2:5">
      <c r="B12" s="4" t="s">
        <v>97</v>
      </c>
      <c r="C12" s="31">
        <f>IFERROR(C8/C7, 0)</f>
        <v>0</v>
      </c>
      <c r="D12" s="31">
        <f>IFERROR(D8/D7, 0)</f>
        <v>0</v>
      </c>
      <c r="E12" s="31">
        <f>IFERROR(E8/E7, 0)</f>
        <v>0</v>
      </c>
    </row>
    <row r="14" spans="2:5">
      <c r="B14" s="4" t="s">
        <v>98</v>
      </c>
      <c r="C14" s="29">
        <f>IFERROR(SUMPRODUCT(Waterfall!G3:G82, Waterfall!A3:A82/12)/SUM(Waterfall!G3:G82), 0)</f>
        <v>0</v>
      </c>
      <c r="D14" s="29">
        <f>IFERROR(SUMPRODUCT(Waterfall!K3:K82, Waterfall!A3:A82/12)/SUM(Waterfall!K3:K82), 0)</f>
        <v>0</v>
      </c>
      <c r="E14" s="29">
        <f>IFERROR(SUMPRODUCT(Waterfall!O3:O82, Waterfall!A3:A82/12)/SUM(Waterfall!O3:O82), 0)</f>
        <v>0</v>
      </c>
    </row>
    <row r="15" spans="2:5">
      <c r="B15" s="4" t="s">
        <v>99</v>
      </c>
      <c r="C15" s="29">
        <f>SUM(Waterfall!G:G)</f>
        <v>0</v>
      </c>
      <c r="D15" s="29">
        <f>SUM(Waterfall!K:K)</f>
        <v>0</v>
      </c>
      <c r="E15" s="29">
        <f>SUM(Waterfall!O:O)</f>
        <v>0</v>
      </c>
    </row>
    <row r="16" spans="2:5">
      <c r="B16" s="4" t="s">
        <v>100</v>
      </c>
      <c r="C16" s="29">
        <f>Waterfall!H82</f>
        <v>0</v>
      </c>
      <c r="D16" s="29">
        <f>Waterfall!L82</f>
        <v>0</v>
      </c>
      <c r="E16" s="29">
        <f>Waterfall!P82</f>
        <v>0</v>
      </c>
    </row>
    <row r="17" spans="2:5">
      <c r="B17" s="4" t="s">
        <v>101</v>
      </c>
      <c r="C17" s="29">
        <f>C16</f>
        <v>0</v>
      </c>
      <c r="D17" s="29">
        <f>D16</f>
        <v>0</v>
      </c>
      <c r="E17" s="29">
        <f>E16</f>
        <v>0</v>
      </c>
    </row>
    <row r="18" spans="2:5">
      <c r="B18" s="4" t="s">
        <v>102</v>
      </c>
      <c r="C18" s="32">
        <f>C15/C5*100</f>
        <v>0</v>
      </c>
      <c r="D18" s="32">
        <f>D15/D5*100</f>
        <v>0</v>
      </c>
      <c r="E18" s="32">
        <f>E15/E5*100</f>
        <v>0</v>
      </c>
    </row>
    <row r="20" spans="2:5">
      <c r="B20" s="33" t="s">
        <v>103</v>
      </c>
      <c r="C20" s="33"/>
      <c r="D20" s="33"/>
      <c r="E20" s="33"/>
    </row>
    <row r="21" spans="2:5">
      <c r="B21" s="4" t="s">
        <v>104</v>
      </c>
      <c r="C21" s="34">
        <f>1-Inputs!$C$14</f>
        <v>0</v>
      </c>
      <c r="D21" s="34">
        <f>1-Inputs!$C$14-Inputs!$C$15</f>
        <v>0</v>
      </c>
      <c r="E21" s="34">
        <f>1-Inputs!$C$14-Inputs!$C$15-Inputs!$C$16</f>
        <v>0</v>
      </c>
    </row>
    <row r="22" spans="2:5">
      <c r="B22" s="4" t="s">
        <v>105</v>
      </c>
      <c r="C22" s="29">
        <f>Inputs!$C$6*C21</f>
        <v>0</v>
      </c>
      <c r="D22" s="29">
        <f>Inputs!$C$6*D21</f>
        <v>0</v>
      </c>
      <c r="E22" s="29">
        <f>Inputs!$C$6*E21</f>
        <v>0</v>
      </c>
    </row>
    <row r="23" spans="2:5">
      <c r="B23" s="4" t="s">
        <v>106</v>
      </c>
      <c r="C23" s="29">
        <f>MAX(0, C22 - MAX('Asset Side'!L:L))</f>
        <v>0</v>
      </c>
      <c r="D23" s="29">
        <f>MAX(0, D22 - MAX('Asset Side'!L:L))</f>
        <v>0</v>
      </c>
      <c r="E23" s="29">
        <f>MAX(0, E22 - MAX('Asset Side'!L:L))</f>
        <v>0</v>
      </c>
    </row>
    <row r="24" spans="2:5">
      <c r="B24" s="4" t="s">
        <v>107</v>
      </c>
      <c r="C24" s="34">
        <f>IFERROR(C23/Inputs!$C$6, 0)</f>
        <v>0</v>
      </c>
      <c r="D24" s="34">
        <f>IFERROR(D23/Inputs!$C$6, 0)</f>
        <v>0</v>
      </c>
      <c r="E24" s="34">
        <f>IFERROR(E23/Inputs!$C$6, 0)</f>
        <v>0</v>
      </c>
    </row>
    <row r="25" spans="2:5">
      <c r="B25" s="4" t="s">
        <v>108</v>
      </c>
      <c r="C25" s="35">
        <f>IF(C17&gt;0, "YES", "No")</f>
        <v>0</v>
      </c>
      <c r="D25" s="35">
        <f>IF(D17&gt;0, "YES", "No")</f>
        <v>0</v>
      </c>
      <c r="E25" s="35">
        <f>IF(E17&gt;0, "YES", "No")</f>
        <v>0</v>
      </c>
    </row>
    <row r="27" spans="2:5">
      <c r="B27" s="36" t="s">
        <v>109</v>
      </c>
      <c r="C27" s="36"/>
    </row>
    <row r="28" spans="2:5">
      <c r="B28" s="4" t="s">
        <v>110</v>
      </c>
      <c r="C28" s="8">
        <f>MAX('Asset Side'!M:M)</f>
        <v>0</v>
      </c>
    </row>
    <row r="29" spans="2:5">
      <c r="B29" s="4" t="s">
        <v>111</v>
      </c>
      <c r="C29" s="37">
        <f>COUNTIF(Waterfall!E:E, FALSE)</f>
        <v>0</v>
      </c>
    </row>
    <row r="30" spans="2:5">
      <c r="B30" s="4" t="s">
        <v>112</v>
      </c>
      <c r="C30" s="37">
        <f>COUNTIF(Waterfall!I:I, FALSE)</f>
        <v>0</v>
      </c>
    </row>
    <row r="31" spans="2:5">
      <c r="B31" s="4" t="s">
        <v>113</v>
      </c>
      <c r="C31" s="37">
        <f>COUNTIF(Waterfall!M:M, FALSE)</f>
        <v>0</v>
      </c>
    </row>
    <row r="32" spans="2:5">
      <c r="B32" s="4" t="s">
        <v>114</v>
      </c>
      <c r="C32" s="37">
        <f>COUNTIF(Waterfall!S:S, "ERR")</f>
        <v>0</v>
      </c>
    </row>
    <row r="33" spans="2:5">
      <c r="B33" s="4" t="s">
        <v>115</v>
      </c>
      <c r="C33" s="29">
        <f>SUM(Waterfall!D:D)</f>
        <v>0</v>
      </c>
    </row>
    <row r="35" spans="2:5">
      <c r="B35" s="4" t="s">
        <v>116</v>
      </c>
      <c r="C35" s="38">
        <f>"CPR "&amp;TEXT(Inputs!$C$9,"0%")&amp;" | CDR "&amp;TEXT(Inputs!$C$10,"0%")&amp;" | Sev "&amp;TEXT(Inputs!$C$11,"0%")</f>
        <v>0</v>
      </c>
    </row>
    <row r="37" spans="2:5">
      <c r="B37" s="39" t="s">
        <v>117</v>
      </c>
      <c r="C37" s="39"/>
      <c r="D37" s="39"/>
      <c r="E37" s="39"/>
    </row>
    <row r="38" spans="2:5">
      <c r="B38" s="39"/>
      <c r="C38" s="39"/>
      <c r="D38" s="39"/>
      <c r="E38" s="39"/>
    </row>
    <row r="39" spans="2:5">
      <c r="B39" s="39"/>
      <c r="C39" s="39"/>
      <c r="D39" s="39"/>
      <c r="E39" s="39"/>
    </row>
    <row r="40" spans="2:5">
      <c r="B40" s="39"/>
      <c r="C40" s="39"/>
      <c r="D40" s="39"/>
      <c r="E40" s="39"/>
    </row>
  </sheetData>
  <mergeCells count="1">
    <mergeCell ref="B37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Asset Side</vt:lpstr>
      <vt:lpstr>Waterfall</vt:lpstr>
      <vt:lpstr>Bonds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2025-12-03T15:28:23Z</dcterms:created>
  <dcterms:modified xsi:type="dcterms:W3CDTF">2025-12-03T15:28:23Z</dcterms:modified>
</cp:coreProperties>
</file>