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wilzbach\Documents\abf-portal-react\_context\"/>
    </mc:Choice>
  </mc:AlternateContent>
  <xr:revisionPtr revIDLastSave="0" documentId="8_{B6188B71-1B7C-41A1-AEB0-E2750F5B703D}" xr6:coauthVersionLast="47" xr6:coauthVersionMax="47" xr10:uidLastSave="{00000000-0000-0000-0000-000000000000}"/>
  <bookViews>
    <workbookView xWindow="2010" yWindow="18150" windowWidth="21600" windowHeight="12645" xr2:uid="{00000000-000D-0000-FFFF-FFFF00000000}"/>
  </bookViews>
  <sheets>
    <sheet name="Mortgages" sheetId="2" r:id="rId1"/>
    <sheet name="Contex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M23" i="2"/>
  <c r="F27" i="2"/>
  <c r="N19" i="2"/>
  <c r="A11" i="2"/>
  <c r="M19" i="2"/>
  <c r="G28" i="2"/>
  <c r="B4" i="2"/>
  <c r="B17" i="2"/>
  <c r="L20" i="2"/>
  <c r="H9" i="2"/>
  <c r="A10" i="2"/>
  <c r="H35" i="2"/>
  <c r="G6" i="2"/>
  <c r="B20" i="2"/>
  <c r="F29" i="2"/>
  <c r="I23" i="2"/>
  <c r="K29" i="2"/>
  <c r="G12" i="2"/>
  <c r="A6" i="2"/>
  <c r="I31" i="2"/>
  <c r="A9" i="2"/>
  <c r="M38" i="2"/>
  <c r="M25" i="2"/>
  <c r="K38" i="2"/>
  <c r="B27" i="2"/>
  <c r="A29" i="2"/>
  <c r="A13" i="2"/>
  <c r="F17" i="2"/>
  <c r="F20" i="2"/>
  <c r="A37" i="2"/>
  <c r="K6" i="2"/>
  <c r="L31" i="2"/>
  <c r="H3" i="2"/>
  <c r="M27" i="2"/>
  <c r="I21" i="2"/>
  <c r="G20" i="2"/>
  <c r="G31" i="2"/>
  <c r="A35" i="2"/>
  <c r="I37" i="2"/>
  <c r="A33" i="2"/>
  <c r="I8" i="2"/>
  <c r="E12" i="2"/>
  <c r="K35" i="2"/>
  <c r="E27" i="2"/>
  <c r="L21" i="2"/>
  <c r="C28" i="2"/>
  <c r="K11" i="2"/>
  <c r="E17" i="2"/>
  <c r="M28" i="2"/>
  <c r="I11" i="2"/>
  <c r="I28" i="2"/>
  <c r="A27" i="2"/>
  <c r="L33" i="2"/>
  <c r="E25" i="2"/>
  <c r="B3" i="2"/>
  <c r="G5" i="2"/>
  <c r="K28" i="2"/>
  <c r="M12" i="2"/>
  <c r="B25" i="2"/>
  <c r="B31" i="2"/>
  <c r="L39" i="2"/>
  <c r="C20" i="2"/>
  <c r="L14" i="2"/>
  <c r="B35" i="2"/>
  <c r="E39" i="2"/>
  <c r="A34" i="2"/>
  <c r="M29" i="2"/>
  <c r="K4" i="2"/>
  <c r="K26" i="2"/>
  <c r="N29" i="2"/>
  <c r="B29" i="2"/>
  <c r="K3" i="2"/>
  <c r="K2" i="2"/>
  <c r="G13" i="2"/>
  <c r="K23" i="2"/>
  <c r="H38" i="2"/>
  <c r="L5" i="2"/>
  <c r="N20" i="2"/>
  <c r="M17" i="2"/>
  <c r="F9" i="2"/>
  <c r="K19" i="2"/>
  <c r="C27" i="2"/>
  <c r="I9" i="2"/>
  <c r="C18" i="2"/>
  <c r="N10" i="2"/>
  <c r="H34" i="2"/>
  <c r="I2" i="2"/>
  <c r="M35" i="2"/>
  <c r="I17" i="2"/>
  <c r="E23" i="2"/>
  <c r="F37" i="2"/>
  <c r="N37" i="2"/>
  <c r="M4" i="2"/>
  <c r="K34" i="2"/>
  <c r="I26" i="2"/>
  <c r="G19" i="2"/>
  <c r="N35" i="2"/>
  <c r="F3" i="2"/>
  <c r="M26" i="2"/>
  <c r="I35" i="2"/>
  <c r="M11" i="2"/>
  <c r="H17" i="2"/>
  <c r="B14" i="2"/>
  <c r="G8" i="2"/>
  <c r="A31" i="2"/>
  <c r="B18" i="2"/>
  <c r="N27" i="2"/>
  <c r="F6" i="2"/>
  <c r="K39" i="2"/>
  <c r="K20" i="2"/>
  <c r="E4" i="2"/>
  <c r="G37" i="2"/>
  <c r="K37" i="2"/>
  <c r="N39" i="2"/>
  <c r="E18" i="2"/>
  <c r="L35" i="2"/>
  <c r="E38" i="2"/>
  <c r="B9" i="2"/>
  <c r="N3" i="2"/>
  <c r="F31" i="2"/>
  <c r="B38" i="2"/>
  <c r="F38" i="2"/>
  <c r="C5" i="2"/>
  <c r="H23" i="2"/>
  <c r="I29" i="2"/>
  <c r="H39" i="2"/>
  <c r="N31" i="2"/>
  <c r="C11" i="2"/>
  <c r="E34" i="2"/>
  <c r="M9" i="2"/>
  <c r="H11" i="2"/>
  <c r="F25" i="2"/>
  <c r="I20" i="2"/>
  <c r="I5" i="2"/>
  <c r="I3" i="2"/>
  <c r="B12" i="2"/>
  <c r="H20" i="2"/>
  <c r="F26" i="2"/>
  <c r="L4" i="2"/>
  <c r="K10" i="2"/>
  <c r="E9" i="2"/>
  <c r="M31" i="2"/>
  <c r="M5" i="2"/>
  <c r="F8" i="2"/>
  <c r="B8" i="2"/>
  <c r="H6" i="2"/>
  <c r="E2" i="2"/>
  <c r="N23" i="2"/>
  <c r="G9" i="2"/>
  <c r="E28" i="2"/>
  <c r="H18" i="2"/>
  <c r="H19" i="2"/>
  <c r="B19" i="2"/>
  <c r="L11" i="2"/>
  <c r="F35" i="2"/>
  <c r="E8" i="2"/>
  <c r="C38" i="2"/>
  <c r="C39" i="2"/>
  <c r="L37" i="2"/>
  <c r="G4" i="2"/>
  <c r="F28" i="2"/>
  <c r="K31" i="2"/>
  <c r="M8" i="2"/>
  <c r="L10" i="2"/>
  <c r="K27" i="2"/>
  <c r="K5" i="2"/>
  <c r="K13" i="2"/>
  <c r="N34" i="2"/>
  <c r="M2" i="2"/>
  <c r="B13" i="2"/>
  <c r="E31" i="2"/>
  <c r="A25" i="2"/>
  <c r="G27" i="2"/>
  <c r="M21" i="2"/>
  <c r="K14" i="2"/>
  <c r="G21" i="2"/>
  <c r="A38" i="2"/>
  <c r="H12" i="2"/>
  <c r="A4" i="2"/>
  <c r="L23" i="2"/>
  <c r="N17" i="2"/>
  <c r="I19" i="2"/>
  <c r="L26" i="2"/>
  <c r="H27" i="2"/>
  <c r="B26" i="2"/>
  <c r="B23" i="2"/>
  <c r="M14" i="2"/>
  <c r="H37" i="2"/>
  <c r="G34" i="2"/>
  <c r="E33" i="2"/>
  <c r="E5" i="2"/>
  <c r="H29" i="2"/>
  <c r="C17" i="2"/>
  <c r="N21" i="2"/>
  <c r="G26" i="2"/>
  <c r="H26" i="2"/>
  <c r="A5" i="2"/>
  <c r="I39" i="2"/>
  <c r="F11" i="2"/>
  <c r="A23" i="2"/>
  <c r="G29" i="2"/>
  <c r="F23" i="2"/>
  <c r="F5" i="2"/>
  <c r="G18" i="2"/>
  <c r="I10" i="2"/>
  <c r="L8" i="2"/>
  <c r="K8" i="2"/>
  <c r="N25" i="2"/>
  <c r="C4" i="2"/>
  <c r="I18" i="2"/>
  <c r="C23" i="2"/>
  <c r="A14" i="2"/>
  <c r="N38" i="2"/>
  <c r="F13" i="2"/>
  <c r="B37" i="2"/>
  <c r="H10" i="2"/>
  <c r="F19" i="2"/>
  <c r="G25" i="2"/>
  <c r="N11" i="2"/>
  <c r="C3" i="2"/>
  <c r="H4" i="2"/>
  <c r="C35" i="2"/>
  <c r="H33" i="2"/>
  <c r="A2" i="2"/>
  <c r="C19" i="2"/>
  <c r="F2" i="2"/>
  <c r="A21" i="2"/>
  <c r="B10" i="2"/>
  <c r="C31" i="2"/>
  <c r="K9" i="2"/>
  <c r="F10" i="2"/>
  <c r="E11" i="2"/>
  <c r="N4" i="2"/>
  <c r="E14" i="2"/>
  <c r="E3" i="2"/>
  <c r="C21" i="2"/>
  <c r="C25" i="2"/>
  <c r="L2" i="2"/>
  <c r="B39" i="2"/>
  <c r="F33" i="2"/>
  <c r="L12" i="2"/>
  <c r="L34" i="2"/>
  <c r="G39" i="2"/>
  <c r="A8" i="2"/>
  <c r="M20" i="2"/>
  <c r="C33" i="2"/>
  <c r="A20" i="2"/>
  <c r="N12" i="2"/>
  <c r="N5" i="2"/>
  <c r="H25" i="2"/>
  <c r="H5" i="2"/>
  <c r="L17" i="2"/>
  <c r="A39" i="2"/>
  <c r="I33" i="2"/>
  <c r="L29" i="2"/>
  <c r="N2" i="2"/>
  <c r="M13" i="2"/>
  <c r="L28" i="2"/>
  <c r="H13" i="2"/>
  <c r="A19" i="2"/>
  <c r="G35" i="2"/>
  <c r="A28" i="2"/>
  <c r="C26" i="2"/>
  <c r="E29" i="2"/>
  <c r="C13" i="2"/>
  <c r="G38" i="2"/>
  <c r="E37" i="2"/>
  <c r="C34" i="2"/>
  <c r="G3" i="2"/>
  <c r="A26" i="2"/>
  <c r="C8" i="2"/>
  <c r="H2" i="2"/>
  <c r="L18" i="2"/>
  <c r="M37" i="2"/>
  <c r="H21" i="2"/>
  <c r="L9" i="2"/>
  <c r="B11" i="2"/>
  <c r="A3" i="2"/>
  <c r="I4" i="2"/>
  <c r="I13" i="2"/>
  <c r="C12" i="2"/>
  <c r="E13" i="2"/>
  <c r="G10" i="2"/>
  <c r="L6" i="2"/>
  <c r="L38" i="2"/>
  <c r="M10" i="2"/>
  <c r="I34" i="2"/>
  <c r="B6" i="2"/>
  <c r="N14" i="2"/>
  <c r="L25" i="2"/>
  <c r="E19" i="2"/>
  <c r="B2" i="2"/>
  <c r="F12" i="2"/>
  <c r="G14" i="2"/>
  <c r="K25" i="2"/>
  <c r="G17" i="2"/>
  <c r="K17" i="2"/>
  <c r="M6" i="2"/>
  <c r="F39" i="2"/>
  <c r="N33" i="2"/>
  <c r="L13" i="2"/>
  <c r="I6" i="2"/>
  <c r="I12" i="2"/>
  <c r="A18" i="2"/>
  <c r="I27" i="2"/>
  <c r="I14" i="2"/>
  <c r="N8" i="2"/>
  <c r="B34" i="2"/>
  <c r="C14" i="2"/>
  <c r="F21" i="2"/>
  <c r="C10" i="2"/>
  <c r="H14" i="2"/>
  <c r="F4" i="2"/>
  <c r="C6" i="2"/>
  <c r="N26" i="2"/>
  <c r="M33" i="2"/>
  <c r="M18" i="2"/>
  <c r="F14" i="2"/>
  <c r="E20" i="2"/>
  <c r="C37" i="2"/>
  <c r="A12" i="2"/>
  <c r="B28" i="2"/>
  <c r="I38" i="2"/>
  <c r="M39" i="2"/>
  <c r="B21" i="2"/>
  <c r="G2" i="2"/>
  <c r="N28" i="2"/>
  <c r="E10" i="2"/>
  <c r="E6" i="2"/>
  <c r="N9" i="2"/>
  <c r="C2" i="2"/>
  <c r="G23" i="2"/>
  <c r="F34" i="2"/>
  <c r="G33" i="2"/>
  <c r="M34" i="2"/>
  <c r="K33" i="2"/>
  <c r="L3" i="2"/>
  <c r="C9" i="2"/>
  <c r="B5" i="2"/>
  <c r="E35" i="2"/>
  <c r="E26" i="2"/>
  <c r="H31" i="2"/>
  <c r="K21" i="2"/>
  <c r="C29" i="2"/>
  <c r="G11" i="2"/>
  <c r="M3" i="2"/>
  <c r="E21" i="2"/>
  <c r="L27" i="2"/>
  <c r="B33" i="2"/>
  <c r="N13" i="2"/>
  <c r="L19" i="2"/>
  <c r="K12" i="2"/>
  <c r="N18" i="2"/>
  <c r="N6" i="2"/>
  <c r="A17" i="2"/>
  <c r="K18" i="2"/>
  <c r="I25" i="2"/>
  <c r="F18" i="2"/>
  <c r="H8" i="2"/>
  <c r="A30" i="2"/>
  <c r="C36" i="2"/>
  <c r="E30" i="2"/>
  <c r="H16" i="2"/>
  <c r="I22" i="2"/>
  <c r="A16" i="2"/>
  <c r="A24" i="2"/>
  <c r="E24" i="2"/>
  <c r="B24" i="2"/>
  <c r="B30" i="2"/>
  <c r="I32" i="2"/>
  <c r="C40" i="2"/>
  <c r="N16" i="2"/>
  <c r="G16" i="2"/>
  <c r="H30" i="2"/>
  <c r="A15" i="2"/>
  <c r="M24" i="2"/>
  <c r="L30" i="2"/>
  <c r="L16" i="2"/>
  <c r="G22" i="2"/>
  <c r="I40" i="2"/>
  <c r="L36" i="2"/>
  <c r="C16" i="2"/>
  <c r="C32" i="2"/>
  <c r="L22" i="2"/>
  <c r="H24" i="2"/>
  <c r="G7" i="2"/>
  <c r="F22" i="2"/>
  <c r="I16" i="2"/>
  <c r="N30" i="2"/>
  <c r="A7" i="2"/>
  <c r="C24" i="2"/>
  <c r="E40" i="2"/>
  <c r="B36" i="2"/>
  <c r="B15" i="2"/>
  <c r="F32" i="2"/>
  <c r="E36" i="2"/>
  <c r="K30" i="2"/>
  <c r="H7" i="2"/>
  <c r="L40" i="2"/>
  <c r="N40" i="2"/>
  <c r="L32" i="2"/>
  <c r="M32" i="2"/>
  <c r="K7" i="2"/>
  <c r="M40" i="2"/>
  <c r="N22" i="2"/>
  <c r="H22" i="2"/>
  <c r="G24" i="2"/>
  <c r="K40" i="2"/>
  <c r="F30" i="2"/>
  <c r="K15" i="2"/>
  <c r="H36" i="2"/>
  <c r="A36" i="2"/>
  <c r="M30" i="2"/>
  <c r="I15" i="2"/>
  <c r="N36" i="2"/>
  <c r="E16" i="2"/>
  <c r="N24" i="2"/>
  <c r="I7" i="2"/>
  <c r="I24" i="2"/>
  <c r="L24" i="2"/>
  <c r="M15" i="2"/>
  <c r="K32" i="2"/>
  <c r="H32" i="2"/>
  <c r="E15" i="2"/>
  <c r="B16" i="2"/>
  <c r="M22" i="2"/>
  <c r="G30" i="2"/>
  <c r="E32" i="2"/>
  <c r="L15" i="2"/>
  <c r="B7" i="2"/>
  <c r="A40" i="2"/>
  <c r="B22" i="2"/>
  <c r="L7" i="2"/>
  <c r="M36" i="2"/>
  <c r="K24" i="2"/>
  <c r="G36" i="2"/>
  <c r="B32" i="2"/>
  <c r="K36" i="2"/>
  <c r="M7" i="2"/>
  <c r="I30" i="2"/>
  <c r="F15" i="2"/>
  <c r="F16" i="2"/>
  <c r="A32" i="2"/>
  <c r="N7" i="2"/>
  <c r="H40" i="2"/>
  <c r="C15" i="2"/>
  <c r="C7" i="2"/>
  <c r="B40" i="2"/>
  <c r="E7" i="2"/>
  <c r="I36" i="2"/>
  <c r="K16" i="2"/>
  <c r="A22" i="2"/>
  <c r="G40" i="2"/>
  <c r="E22" i="2"/>
  <c r="F40" i="2"/>
  <c r="F7" i="2"/>
  <c r="N15" i="2"/>
  <c r="F24" i="2"/>
  <c r="G32" i="2"/>
  <c r="K22" i="2"/>
  <c r="F36" i="2"/>
  <c r="N32" i="2"/>
  <c r="C30" i="2"/>
  <c r="C22" i="2"/>
  <c r="G15" i="2"/>
  <c r="M16" i="2"/>
  <c r="H15" i="2"/>
</calcChain>
</file>

<file path=xl/sharedStrings.xml><?xml version="1.0" encoding="utf-8"?>
<sst xmlns="http://schemas.openxmlformats.org/spreadsheetml/2006/main" count="50" uniqueCount="39">
  <si>
    <t>CUSIP</t>
  </si>
  <si>
    <t>Security Name</t>
  </si>
  <si>
    <t>Yld At Issue</t>
  </si>
  <si>
    <t>Amt Out</t>
  </si>
  <si>
    <t>Maturity</t>
  </si>
  <si>
    <t>Issue Date</t>
  </si>
  <si>
    <t>Mtge Tranche Type</t>
  </si>
  <si>
    <t>Deal Type</t>
  </si>
  <si>
    <t>Currency</t>
  </si>
  <si>
    <t>Mtge Orig Amt</t>
  </si>
  <si>
    <t>Cpn</t>
  </si>
  <si>
    <t>Mtge Factor</t>
  </si>
  <si>
    <t>Current WAL</t>
  </si>
  <si>
    <t>Original WAL</t>
  </si>
  <si>
    <t>Summary</t>
  </si>
  <si>
    <t>SRCH Results</t>
  </si>
  <si>
    <t>Number of securities: 39</t>
  </si>
  <si>
    <t>Currency: USD</t>
  </si>
  <si>
    <t>Created by  BRETT WILZBACH ( CANNAE PORTFOLIO ADVISORS LLC )  on  12/19/2025 13:39:27 GMT-0500 (EST)</t>
  </si>
  <si>
    <t>SRCH Criteria</t>
  </si>
  <si>
    <t>Asset Classes: Mortgages (MBS &amp; Structured) (Consolidate Duplicate Bonds)</t>
  </si>
  <si>
    <t>Sources: All Securities</t>
  </si>
  <si>
    <t xml:space="preserve">Security: </t>
  </si>
  <si>
    <t xml:space="preserve"> AND </t>
  </si>
  <si>
    <t>Include [Match Any]</t>
  </si>
  <si>
    <t>Auto or Equipment or Healthcare or Home Equity or Home Improvement or Airplane or Conduit or SASB or CLO</t>
  </si>
  <si>
    <t>Country/Region of Risk</t>
  </si>
  <si>
    <t>Include</t>
  </si>
  <si>
    <t>United States of America</t>
  </si>
  <si>
    <t>Mortgage Tranche Type</t>
  </si>
  <si>
    <t>Does not contain</t>
  </si>
  <si>
    <t>IO,  CD</t>
  </si>
  <si>
    <t>Less than or equal to</t>
  </si>
  <si>
    <t>1 months ago</t>
  </si>
  <si>
    <t>Greater than or equal to</t>
  </si>
  <si>
    <t>3 years from now</t>
  </si>
  <si>
    <t>Amount Outstanding</t>
  </si>
  <si>
    <t>250.0MM (USD)</t>
  </si>
  <si>
    <t>Yield At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</si>
</sst>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7">
    <xf numFmtId="0" fontId="0" fillId="0" borderId="0" xfId="0"/>
    <xf numFmtId="0" fontId="1" fillId="34" borderId="0" xfId="29"/>
    <xf numFmtId="0" fontId="2" fillId="33" borderId="0" xfId="26"/>
    <xf numFmtId="0" fontId="0" fillId="0" borderId="0" xfId="0"/>
    <xf numFmtId="0" fontId="1" fillId="0" borderId="0" xfId="27" applyAlignment="1">
      <alignment horizontal="center"/>
    </xf>
    <xf numFmtId="0" fontId="2" fillId="33" borderId="0" xfId="26"/>
    <xf numFmtId="0" fontId="3" fillId="0" borderId="0" xfId="28" applyFont="1">
      <alignment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ulation" xfId="30" builtinId="22" customBuiltin="1"/>
    <cellStyle name="Check Cell" xfId="31" builtinId="23" customBuiltin="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BDP|11141341448975626960</stp>
        <tr r="I3" s="2"/>
      </tp>
      <tp t="s">
        <v>#N/A N/A</v>
        <stp/>
        <stp>BDP|11603202198570785056</stp>
        <tr r="L32" s="2"/>
      </tp>
      <tp t="s">
        <v>#N/A N/A</v>
        <stp/>
        <stp>BDP|17270885638832665454</stp>
        <tr r="F17" s="2"/>
      </tp>
      <tp t="s">
        <v>#N/A N/A</v>
        <stp/>
        <stp>BDP|16572028387106534242</stp>
        <tr r="G31" s="2"/>
      </tp>
      <tp t="s">
        <v>#N/A N/A</v>
        <stp/>
        <stp>BDP|16012312240408356328</stp>
        <tr r="A15" s="2"/>
      </tp>
      <tp t="s">
        <v>#N/A N/A</v>
        <stp/>
        <stp>BDP|15150878938997655380</stp>
        <tr r="F22" s="2"/>
      </tp>
      <tp t="s">
        <v>#N/A N/A</v>
        <stp/>
        <stp>BDP|15975195896382443521</stp>
        <tr r="L30" s="2"/>
      </tp>
      <tp t="s">
        <v>#N/A N/A</v>
        <stp/>
        <stp>BDP|15650856727611567420</stp>
        <tr r="G22" s="2"/>
      </tp>
      <tp t="s">
        <v>#N/A N/A</v>
        <stp/>
        <stp>BDP|18144465970155651581</stp>
        <tr r="L20" s="2"/>
      </tp>
      <tp t="s">
        <v>#N/A N/A</v>
        <stp/>
        <stp>BDP|12951140415001428843</stp>
        <tr r="F6" s="2"/>
      </tp>
      <tp t="s">
        <v>#N/A N/A</v>
        <stp/>
        <stp>BDP|18069790627570272670</stp>
        <tr r="H9" s="2"/>
      </tp>
      <tp t="s">
        <v>#N/A N/A</v>
        <stp/>
        <stp>BDP|18217597437372545746</stp>
        <tr r="M19" s="2"/>
      </tp>
      <tp t="s">
        <v>#N/A N/A</v>
        <stp/>
        <stp>BDP|12954031019168979061</stp>
        <tr r="N27" s="2"/>
      </tp>
      <tp t="s">
        <v>#N/A N/A</v>
        <stp/>
        <stp>BDP|16132419057448146498</stp>
        <tr r="H30" s="2"/>
      </tp>
      <tp t="s">
        <v>#N/A N/A</v>
        <stp/>
        <stp>BDP|13153624077208588100</stp>
        <tr r="B14" s="2"/>
      </tp>
      <tp t="s">
        <v>#N/A N/A</v>
        <stp/>
        <stp>BDP|18337184032992185398</stp>
        <tr r="M23" s="2"/>
      </tp>
      <tp t="s">
        <v>#N/A N/A</v>
        <stp/>
        <stp>BDP|10710918664683705768</stp>
        <tr r="M5" s="2"/>
      </tp>
      <tp t="s">
        <v>#N/A N/A</v>
        <stp/>
        <stp>BDP|13234920722561543245</stp>
        <tr r="I35" s="2"/>
      </tp>
      <tp t="s">
        <v>#N/A N/A</v>
        <stp/>
        <stp>BDP|13553579533009422774</stp>
        <tr r="F37" s="2"/>
      </tp>
      <tp t="s">
        <v>#N/A N/A</v>
        <stp/>
        <stp>BDP|18199077290703178954</stp>
        <tr r="B4" s="2"/>
      </tp>
      <tp t="s">
        <v>#N/A N/A</v>
        <stp/>
        <stp>BDP|13043914408718587981</stp>
        <tr r="A31" s="2"/>
      </tp>
      <tp t="s">
        <v>#N/A N/A</v>
        <stp/>
        <stp>BDP|13488357430481552908</stp>
        <tr r="N37" s="2"/>
      </tp>
      <tp t="s">
        <v>#N/A N/A</v>
        <stp/>
        <stp>BDP|10139065191236864773</stp>
        <tr r="H19" s="2"/>
      </tp>
      <tp t="s">
        <v>#N/A N/A</v>
        <stp/>
        <stp>BDP|16405989641614212772</stp>
        <tr r="I32" s="2"/>
      </tp>
      <tp t="s">
        <v>#N/A N/A</v>
        <stp/>
        <stp>BDP|14330951421785830250</stp>
        <tr r="L5" s="2"/>
      </tp>
      <tp t="s">
        <v>#N/A N/A</v>
        <stp/>
        <stp>BDP|10233878637040622383</stp>
        <tr r="G9" s="2"/>
      </tp>
      <tp t="s">
        <v>#N/A N/A</v>
        <stp/>
        <stp>BDP|10282563555841989981</stp>
        <tr r="A36" s="2"/>
      </tp>
      <tp t="s">
        <v>#N/A N/A</v>
        <stp/>
        <stp>BDP|13223714942330727867</stp>
        <tr r="M11" s="2"/>
      </tp>
      <tp t="s">
        <v>#N/A N/A</v>
        <stp/>
        <stp>BDP|10376531737227326966</stp>
        <tr r="N23" s="2"/>
      </tp>
      <tp t="s">
        <v>#N/A N/A</v>
        <stp/>
        <stp>BDP|12460444087337828184</stp>
        <tr r="K30" s="2"/>
      </tp>
      <tp t="s">
        <v>#N/A N/A</v>
        <stp/>
        <stp>BDP|17565591246927449857</stp>
        <tr r="A9" s="2"/>
      </tp>
      <tp t="s">
        <v>#N/A N/A</v>
        <stp/>
        <stp>BDP|10019573603098763485</stp>
        <tr r="B19" s="2"/>
      </tp>
      <tp t="s">
        <v>#N/A N/A</v>
        <stp/>
        <stp>BDP|13871875170032104746</stp>
        <tr r="M35" s="2"/>
      </tp>
      <tp t="s">
        <v>#N/A N/A</v>
        <stp/>
        <stp>BDP|14009237008397485810</stp>
        <tr r="C18" s="2"/>
      </tp>
      <tp t="s">
        <v>#N/A N/A</v>
        <stp/>
        <stp>BDP|12412165614059190227</stp>
        <tr r="K37" s="2"/>
      </tp>
      <tp t="s">
        <v>#N/A N/A</v>
        <stp/>
        <stp>BDP|14538461202100190954</stp>
        <tr r="A7" s="2"/>
      </tp>
      <tp t="s">
        <v>#N/A N/A</v>
        <stp/>
        <stp>BDP|13925794402719525434</stp>
        <tr r="I2" s="2"/>
      </tp>
      <tp t="s">
        <v>#N/A N/A</v>
        <stp/>
        <stp>BDP|15465252400737780906</stp>
        <tr r="C16" s="2"/>
      </tp>
      <tp t="s">
        <v>#N/A N/A</v>
        <stp/>
        <stp>BDP|18006909869881712872</stp>
        <tr r="H35" s="2"/>
      </tp>
      <tp t="s">
        <v>#N/A N/A</v>
        <stp/>
        <stp>BDP|18171262619757418220</stp>
        <tr r="B17" s="2"/>
      </tp>
      <tp t="s">
        <v>#N/A N/A</v>
        <stp/>
        <stp>BDP|13926067211709268577</stp>
        <tr r="H34" s="2"/>
      </tp>
      <tp t="s">
        <v>#N/A N/A</v>
        <stp/>
        <stp>BDP|17930409876472728839</stp>
        <tr r="E30" s="2"/>
      </tp>
      <tp t="s">
        <v>#N/A N/A</v>
        <stp/>
        <stp>BDP|15390304176407942869</stp>
        <tr r="M12" s="2"/>
      </tp>
      <tp t="s">
        <v>#N/A N/A</v>
        <stp/>
        <stp>BDP|15981405898824804241</stp>
        <tr r="M24" s="2"/>
      </tp>
      <tp t="s">
        <v>#N/A N/A</v>
        <stp/>
        <stp>BDP|16220762585392532584</stp>
        <tr r="N16" s="2"/>
      </tp>
      <tp t="s">
        <v>#N/A N/A</v>
        <stp/>
        <stp>BDP|15417317294374836570</stp>
        <tr r="C32" s="2"/>
      </tp>
      <tp t="s">
        <v>#N/A N/A</v>
        <stp/>
        <stp>BDP|17756850930260375208</stp>
        <tr r="I23" s="2"/>
      </tp>
      <tp t="s">
        <v>#N/A N/A</v>
        <stp/>
        <stp>BDP|12299103183894407165</stp>
        <tr r="E18" s="2"/>
      </tp>
      <tp t="s">
        <v>#N/A N/A</v>
        <stp/>
        <stp>BDP|14709771506505551819</stp>
        <tr r="B29" s="2"/>
      </tp>
      <tp t="s">
        <v>#N/A N/A</v>
        <stp/>
        <stp>BDP|10866803479723153228</stp>
        <tr r="K40" s="2"/>
      </tp>
      <tp t="s">
        <v>#N/A N/A</v>
        <stp/>
        <stp>BDP|18207104171180428054</stp>
        <tr r="G28" s="2"/>
      </tp>
      <tp t="s">
        <v>#N/A N/A</v>
        <stp/>
        <stp>BDP|11272117162558242015</stp>
        <tr r="F25" s="2"/>
      </tp>
      <tp t="s">
        <v>#N/A N/A</v>
        <stp/>
        <stp>BDP|13654666876008173423</stp>
        <tr r="B36" s="2"/>
      </tp>
      <tp t="s">
        <v>#N/A N/A</v>
        <stp/>
        <stp>BDP|12556497291272838306</stp>
        <tr r="G37" s="2"/>
      </tp>
      <tp t="s">
        <v>#N/A N/A</v>
        <stp/>
        <stp>BDP|18047214948888880862</stp>
        <tr r="A10" s="2"/>
      </tp>
      <tp t="s">
        <v>#N/A N/A</v>
        <stp/>
        <stp>BDP|13310969386485241972</stp>
        <tr r="M26" s="2"/>
      </tp>
      <tp t="s">
        <v>#N/A N/A</v>
        <stp/>
        <stp>BDP|17348174211169800148</stp>
        <tr r="H16" s="2"/>
      </tp>
      <tp t="s">
        <v>#N/A N/A</v>
        <stp/>
        <stp>BDP|15567846737051203081</stp>
        <tr r="L33" s="2"/>
      </tp>
      <tp t="s">
        <v>#N/A N/A</v>
        <stp/>
        <stp>BDP|17153751703766585915</stp>
        <tr r="I22" s="2"/>
      </tp>
      <tp t="s">
        <v>#N/A N/A</v>
        <stp/>
        <stp>BDP|18145688353896071292</stp>
        <tr r="C36" s="2"/>
      </tp>
      <tp t="s">
        <v>#N/A N/A</v>
        <stp/>
        <stp>BDP|18232022989486279984</stp>
        <tr r="A11" s="2"/>
      </tp>
      <tp t="s">
        <v>#N/A N/A</v>
        <stp/>
        <stp>BDP|17275207905773148949</stp>
        <tr r="A13" s="2"/>
      </tp>
      <tp t="s">
        <v>#N/A N/A</v>
        <stp/>
        <stp>BDP|16999167190823387294</stp>
        <tr r="I21" s="2"/>
      </tp>
      <tp t="s">
        <v>#N/A N/A</v>
        <stp/>
        <stp>BDP|12129095410584984845</stp>
        <tr r="B9" s="2"/>
      </tp>
      <tp t="s">
        <v>#N/A N/A</v>
        <stp/>
        <stp>BDP|10732893619990302617</stp>
        <tr r="M31" s="2"/>
      </tp>
      <tp t="s">
        <v>#N/A N/A</v>
        <stp/>
        <stp>BDP|15518464087602474459</stp>
        <tr r="I40" s="2"/>
      </tp>
      <tp t="s">
        <v>#N/A N/A</v>
        <stp/>
        <stp>BDP|14065644967609729210</stp>
        <tr r="I9" s="2"/>
      </tp>
      <tp t="s">
        <v>#N/A N/A</v>
        <stp/>
        <stp>BDP|15003622183657426311</stp>
        <tr r="K4" s="2"/>
      </tp>
      <tp t="s">
        <v>#N/A N/A</v>
        <stp/>
        <stp>BDP|13453507012349492143</stp>
        <tr r="F32" s="2"/>
      </tp>
      <tp t="s">
        <v>#N/A N/A</v>
        <stp/>
        <stp>BDP|11286053967373945801</stp>
        <tr r="M9" s="2"/>
      </tp>
      <tp t="s">
        <v>#N/A N/A</v>
        <stp/>
        <stp>BDP|11673329840552421898</stp>
        <tr r="C5" s="2"/>
      </tp>
      <tp t="s">
        <v>#N/A N/A</v>
        <stp/>
        <stp>BDP|12401549028610192927</stp>
        <tr r="H7" s="2"/>
      </tp>
      <tp t="s">
        <v>#N/A N/A</v>
        <stp/>
        <stp>BDP|12263773997596949604</stp>
        <tr r="L40" s="2"/>
      </tp>
      <tp t="s">
        <v>#N/A N/A</v>
        <stp/>
        <stp>BDP|11764793234759567056</stp>
        <tr r="N40" s="2"/>
      </tp>
      <tp t="s">
        <v>#N/A N/A</v>
        <stp/>
        <stp>BDP|18360303364691961045</stp>
        <tr r="H28" s="2"/>
      </tp>
      <tp t="s">
        <v>#N/A N/A</v>
        <stp/>
        <stp>BDP|15465006439153059904</stp>
        <tr r="G5" s="2"/>
      </tp>
      <tp t="s">
        <v>#N/A N/A</v>
        <stp/>
        <stp>BDP|17988965222484353439</stp>
        <tr r="B20" s="2"/>
      </tp>
      <tp t="s">
        <v>#N/A N/A</v>
        <stp/>
        <stp>BDP|13405892854193200172</stp>
        <tr r="G19" s="2"/>
      </tp>
      <tp t="s">
        <v>#N/A N/A</v>
        <stp/>
        <stp>BDP|13415196246588511207</stp>
        <tr r="E36" s="2"/>
      </tp>
      <tp t="s">
        <v>#N/A N/A</v>
        <stp/>
        <stp>BDP|17627339665486674865</stp>
        <tr r="I31" s="2"/>
      </tp>
      <tp t="s">
        <v>#N/A N/A</v>
        <stp/>
        <stp>BDP|11227300060400752851</stp>
        <tr r="I5" s="2"/>
      </tp>
      <tp t="s">
        <v>#N/A N/A</v>
        <stp/>
        <stp>BDP|10769128124128142728</stp>
        <tr r="F30" s="2"/>
      </tp>
      <tp t="s">
        <v>#N/A N/A</v>
        <stp/>
        <stp>BDP|16411830844777250136</stp>
        <tr r="C40" s="2"/>
      </tp>
      <tp t="s">
        <v>#N/A N/A</v>
        <stp/>
        <stp>BDP|15240727610797235878</stp>
        <tr r="L14" s="2"/>
      </tp>
      <tp t="s">
        <v>#N/A N/A</v>
        <stp/>
        <stp>BDP|14875314329448727134</stp>
        <tr r="K26" s="2"/>
      </tp>
      <tp t="s">
        <v>#N/A N/A</v>
        <stp/>
        <stp>BDP|17394454903919827740</stp>
        <tr r="M25" s="2"/>
      </tp>
      <tp t="s">
        <v>#N/A N/A</v>
        <stp/>
        <stp>BDP|16687159029949781151</stp>
        <tr r="A24" s="2"/>
      </tp>
      <tp t="s">
        <v>#N/A N/A</v>
        <stp/>
        <stp>BDP|15041914815632604286</stp>
        <tr r="A34" s="2"/>
      </tp>
      <tp t="s">
        <v>#N/A N/A</v>
        <stp/>
        <stp>BDP|17912421831728704505</stp>
        <tr r="G6" s="2"/>
      </tp>
      <tp t="s">
        <v>#N/A N/A</v>
        <stp/>
        <stp>BDP|11408379567111978814</stp>
        <tr r="C11" s="2"/>
      </tp>
      <tp t="s">
        <v>#N/A N/A</v>
        <stp/>
        <stp>BDP|15123312089770398354</stp>
        <tr r="I16" s="2"/>
      </tp>
      <tp t="s">
        <v>#N/A N/A</v>
        <stp/>
        <stp>BDP|16318898769490179539</stp>
        <tr r="A33" s="2"/>
      </tp>
      <tp t="s">
        <v>#N/A N/A</v>
        <stp/>
        <stp>BDP|15754525613454745800</stp>
        <tr r="E17" s="2"/>
      </tp>
      <tp t="s">
        <v>#N/A N/A</v>
        <stp/>
        <stp>BDP|18302728654271554601</stp>
        <tr r="N19" s="2"/>
      </tp>
      <tp t="s">
        <v>#N/A N/A</v>
        <stp/>
        <stp>BDP|15381898061342985414</stp>
        <tr r="B25" s="2"/>
      </tp>
      <tp t="s">
        <v>#N/A N/A</v>
        <stp/>
        <stp>BDP|15810703555452953870</stp>
        <tr r="K11" s="2"/>
      </tp>
      <tp t="s">
        <v>#N/A N/A</v>
        <stp/>
        <stp>BDP|12017656987486833787</stp>
        <tr r="B38" s="2"/>
      </tp>
      <tp t="s">
        <v>#N/A N/A</v>
        <stp/>
        <stp>BDP|13473382799122860691</stp>
        <tr r="K34" s="2"/>
      </tp>
      <tp t="s">
        <v>#N/A N/A</v>
        <stp/>
        <stp>BDP|15096522290095712124</stp>
        <tr r="M29" s="2"/>
      </tp>
      <tp t="s">
        <v>#N/A N/A</v>
        <stp/>
        <stp>BDP|11464508118432737534</stp>
        <tr r="I29" s="2"/>
      </tp>
      <tp t="s">
        <v>#N/A N/A</v>
        <stp/>
        <stp>BDP|16374200529861269544</stp>
        <tr r="A35" s="2"/>
      </tp>
      <tp t="s">
        <v>#N/A N/A</v>
        <stp/>
        <stp>BDP|12296419069380396268</stp>
        <tr r="L35" s="2"/>
      </tp>
      <tp t="s">
        <v>#N/A N/A</v>
        <stp/>
        <stp>BDP|12962035203263562337</stp>
        <tr r="B18" s="2"/>
      </tp>
      <tp t="s">
        <v>#N/A N/A</v>
        <stp/>
        <stp>BDP|16626463201653654368</stp>
        <tr r="E24" s="2"/>
      </tp>
      <tp t="s">
        <v>#N/A N/A</v>
        <stp/>
        <stp>BDP|15668218304380760546</stp>
        <tr r="I11" s="2"/>
      </tp>
      <tp t="s">
        <v>#N/A N/A</v>
        <stp/>
        <stp>BDP|12321502750377661768</stp>
        <tr r="N39" s="2"/>
      </tp>
      <tp t="s">
        <v>#N/A N/A</v>
        <stp/>
        <stp>BDP|14560602717163396232</stp>
        <tr r="G13" s="2"/>
      </tp>
      <tp t="s">
        <v>#N/A N/A</v>
        <stp/>
        <stp>BDP|14836039069546474638</stp>
        <tr r="C24" s="2"/>
      </tp>
      <tp t="s">
        <v>#N/A N/A</v>
        <stp/>
        <stp>BDP|15063741421521923389</stp>
        <tr r="N30" s="2"/>
      </tp>
      <tp t="s">
        <v>#N/A N/A</v>
        <stp/>
        <stp>BDP|17238456206619031850</stp>
        <tr r="A37" s="2"/>
      </tp>
      <tp t="s">
        <v>#N/A N/A</v>
        <stp/>
        <stp>BDP|15463286414095927166</stp>
        <tr r="K28" s="2"/>
      </tp>
      <tp t="s">
        <v>#N/A N/A</v>
        <stp/>
        <stp>BDP|16093983117628336572</stp>
        <tr r="E27" s="2"/>
      </tp>
      <tp t="s">
        <v>#N/A N/A</v>
        <stp/>
        <stp>BDP|10530655653631130196</stp>
        <tr r="B8" s="2"/>
      </tp>
      <tp t="s">
        <v>#N/A N/A</v>
        <stp/>
        <stp>BDP|14234371201480901408</stp>
        <tr r="M17" s="2"/>
      </tp>
      <tp t="s">
        <v>#N/A N/A</v>
        <stp/>
        <stp>BDP|13583399400972283137</stp>
        <tr r="B15" s="2"/>
      </tp>
      <tp t="s">
        <v>#N/A N/A</v>
        <stp/>
        <stp>BDP|17210183242596154778</stp>
        <tr r="L31" s="2"/>
      </tp>
      <tp t="s">
        <v>#N/A N/A</v>
        <stp/>
        <stp>BDP|15423254222787608149</stp>
        <tr r="L36" s="2"/>
      </tp>
      <tp t="s">
        <v>#N/A N/A</v>
        <stp/>
        <stp>BDP|10954416528072774768</stp>
        <tr r="K10" s="2"/>
      </tp>
      <tp t="s">
        <v>#N/A N/A</v>
        <stp/>
        <stp>BDP|10647609498215821978</stp>
        <tr r="H36" s="2"/>
      </tp>
      <tp t="s">
        <v>#N/A N/A</v>
        <stp/>
        <stp>BDP|16499215213255093364</stp>
        <tr r="B24" s="2"/>
      </tp>
      <tp t="s">
        <v>#N/A N/A</v>
        <stp/>
        <stp>BDP|15659444521006326607</stp>
        <tr r="I28" s="2"/>
      </tp>
      <tp t="s">
        <v>#N/A N/A</v>
        <stp/>
        <stp>BDP|16107245828022679787</stp>
        <tr r="K35" s="2"/>
      </tp>
      <tp t="s">
        <v>#N/A N/A</v>
        <stp/>
        <stp>BDP|11124110205950631377</stp>
        <tr r="G24" s="2"/>
      </tp>
      <tp t="s">
        <v>#N/A N/A</v>
        <stp/>
        <stp>BDP|14314765700442075229</stp>
        <tr r="N20" s="2"/>
      </tp>
      <tp t="s">
        <v>#N/A N/A</v>
        <stp/>
        <stp>BDP|11628396573200311686</stp>
        <tr r="H23" s="2"/>
      </tp>
      <tp t="s">
        <v>#N/A N/A</v>
        <stp/>
        <stp>BDP|14658457533855029693</stp>
        <tr r="K3" s="2"/>
      </tp>
      <tp t="s">
        <v>#N/A N/A</v>
        <stp/>
        <stp>BDP|10568699618091818657</stp>
        <tr r="F8" s="2"/>
      </tp>
      <tp t="s">
        <v>#N/A N/A</v>
        <stp/>
        <stp>BDP|15870855745850414944</stp>
        <tr r="C28" s="2"/>
      </tp>
      <tp t="s">
        <v>#N/A N/A</v>
        <stp/>
        <stp>BDP|13336847296990331292</stp>
        <tr r="N35" s="2"/>
      </tp>
      <tp t="s">
        <v>#N/A N/A</v>
        <stp/>
        <stp>BDP|11285020184349067042</stp>
        <tr r="H22" s="2"/>
      </tp>
      <tp t="s">
        <v>#N/A N/A</v>
        <stp/>
        <stp>BDP|17328566480759218341</stp>
        <tr r="K38" s="2"/>
      </tp>
      <tp t="s">
        <v>#N/A N/A</v>
        <stp/>
        <stp>BDP|13216457474491082108</stp>
        <tr r="H17" s="2"/>
      </tp>
      <tp t="s">
        <v>#N/A N/A</v>
        <stp/>
        <stp>BDP|15414500906837467744</stp>
        <tr r="L22" s="2"/>
      </tp>
      <tp t="s">
        <v>#N/A N/A</v>
        <stp/>
        <stp>BDP|17211491359801235727</stp>
        <tr r="K6" s="2"/>
      </tp>
      <tp t="s">
        <v>#N/A N/A</v>
        <stp/>
        <stp>BDP|11451524076785724657</stp>
        <tr r="N31" s="2"/>
      </tp>
      <tp t="s">
        <v>#N/A N/A</v>
        <stp/>
        <stp>BDP|16741519633290716072</stp>
        <tr r="G20" s="2"/>
      </tp>
      <tp t="s">
        <v>#N/A N/A</v>
        <stp/>
        <stp>BDP|15652414684080683916</stp>
        <tr r="A27" s="2"/>
      </tp>
      <tp t="s">
        <v>#N/A N/A</v>
        <stp/>
        <stp>BDP|14088713632852593225</stp>
        <tr r="K19" s="2"/>
      </tp>
      <tp t="s">
        <v>#N/A N/A</v>
        <stp/>
        <stp>BDP|11127034568806853159</stp>
        <tr r="H20" s="2"/>
      </tp>
      <tp t="s">
        <v>#N/A N/A</v>
        <stp/>
        <stp>BDP|12590450610861435633</stp>
        <tr r="E4" s="2"/>
      </tp>
      <tp t="s">
        <v>#N/A N/A</v>
        <stp/>
        <stp>BDP|13937116665800688533</stp>
        <tr r="N10" s="2"/>
      </tp>
      <tp t="s">
        <v>#N/A N/A</v>
        <stp/>
        <stp>BDP|17556966781141919663</stp>
        <tr r="M38" s="2"/>
      </tp>
      <tp t="s">
        <v>#N/A N/A</v>
        <stp/>
        <stp>BDP|11279285217103838084</stp>
        <tr r="H11" s="2"/>
      </tp>
      <tp t="s">
        <v>#N/A N/A</v>
        <stp/>
        <stp>BDP|10513634109245707295</stp>
        <tr r="H6" s="2"/>
      </tp>
      <tp t="s">
        <v>#N/A N/A</v>
        <stp/>
        <stp>BDP|17761470957605248260</stp>
        <tr r="F29" s="2"/>
      </tp>
      <tp t="s">
        <v>#N/A N/A</v>
        <stp/>
        <stp>BDP|17287605251757291238</stp>
        <tr r="A29" s="2"/>
      </tp>
      <tp t="s">
        <v>#N/A N/A</v>
        <stp/>
        <stp>BDP|13469849874558239524</stp>
        <tr r="I26" s="2"/>
      </tp>
      <tp t="s">
        <v>#N/A N/A</v>
        <stp/>
        <stp>BDP|15360017700785360163</stp>
        <tr r="B31" s="2"/>
      </tp>
      <tp t="s">
        <v>#N/A N/A</v>
        <stp/>
        <stp>BDP|16151079156283250146</stp>
        <tr r="G16" s="2"/>
      </tp>
      <tp t="s">
        <v>#N/A N/A</v>
        <stp/>
        <stp>BDP|13629763567351629274</stp>
        <tr r="I17" s="2"/>
      </tp>
      <tp t="s">
        <v>#N/A N/A</v>
        <stp/>
        <stp>BDP|11422483215641209333</stp>
        <tr r="K7" s="2"/>
      </tp>
      <tp t="s">
        <v>#N/A N/A</v>
        <stp/>
        <stp>BDP|11451104819117069076</stp>
        <tr r="M32" s="2"/>
      </tp>
      <tp t="s">
        <v>#N/A N/A</v>
        <stp/>
        <stp>BDP|17301448884025701887</stp>
        <tr r="B27" s="2"/>
      </tp>
      <tp t="s">
        <v>#N/A N/A</v>
        <stp/>
        <stp>BDP|15498396017966739718</stp>
        <tr r="E25" s="2"/>
      </tp>
      <tp t="s">
        <v>#N/A N/A</v>
        <stp/>
        <stp>BDP|11296326637461085648</stp>
        <tr r="E34" s="2"/>
      </tp>
      <tp t="s">
        <v>#N/A N/A</v>
        <stp/>
        <stp>BDP|18192830528236039296</stp>
        <tr r="A30" s="2"/>
      </tp>
      <tp t="s">
        <v>#N/A N/A</v>
        <stp/>
        <stp>BDP|11266095913811921736</stp>
        <tr r="I20" s="2"/>
      </tp>
      <tp t="s">
        <v>#N/A N/A</v>
        <stp/>
        <stp>BDP|13793955899861984475</stp>
        <tr r="E40" s="2"/>
      </tp>
      <tp t="s">
        <v>#N/A N/A</v>
        <stp/>
        <stp>BDP|12235259427521382569</stp>
        <tr r="E38" s="2"/>
      </tp>
      <tp t="s">
        <v>#N/A N/A</v>
        <stp/>
        <stp>BDP|12118234872763456215</stp>
        <tr r="N3" s="2"/>
      </tp>
      <tp t="s">
        <v>#N/A N/A</v>
        <stp/>
        <stp>BDP|15478142016133009034</stp>
        <tr r="B3" s="2"/>
      </tp>
      <tp t="s">
        <v>#N/A N/A</v>
        <stp/>
        <stp>BDP|14498245277844474372</stp>
        <tr r="K23" s="2"/>
      </tp>
      <tp t="s">
        <v>#N/A N/A</v>
        <stp/>
        <stp>BDP|11136745323842082018</stp>
        <tr r="B12" s="2"/>
      </tp>
      <tp t="s">
        <v>#N/A N/A</v>
        <stp/>
        <stp>BDP|15916710552428884951</stp>
        <tr r="L16" s="2"/>
      </tp>
      <tp t="s">
        <v>#N/A N/A</v>
        <stp/>
        <stp>BDP|13314437323721361387</stp>
        <tr r="F3" s="2"/>
      </tp>
      <tp t="s">
        <v>#N/A N/A</v>
        <stp/>
        <stp>BDP|17724949903080823936</stp>
        <tr r="K29" s="2"/>
      </tp>
      <tp t="s">
        <v>#N/A N/A</v>
        <stp/>
        <stp>BDP|15282831079059438402</stp>
        <tr r="L39" s="2"/>
      </tp>
      <tp t="s">
        <v>#N/A N/A</v>
        <stp/>
        <stp>BDP|14627679335435920336</stp>
        <tr r="K2" s="2"/>
      </tp>
      <tp t="s">
        <v>#N/A N/A</v>
        <stp/>
        <stp>BDP|11080289231397087081</stp>
        <tr r="L4" s="2"/>
      </tp>
      <tp t="s">
        <v>#N/A N/A</v>
        <stp/>
        <stp>BDP|11455329230036746008</stp>
        <tr r="H39" s="2"/>
      </tp>
      <tp t="s">
        <v>#N/A N/A</v>
        <stp/>
        <stp>BDP|11348304634247039178</stp>
        <tr r="M40" s="2"/>
      </tp>
      <tp t="s">
        <v>#N/A N/A</v>
        <stp/>
        <stp>BDP|17637371277145039147</stp>
        <tr r="A6" s="2"/>
      </tp>
      <tp t="s">
        <v>#N/A N/A</v>
        <stp/>
        <stp>BDP|15201157561992510761</stp>
        <tr r="B35" s="2"/>
      </tp>
      <tp t="s">
        <v>#N/A N/A</v>
        <stp/>
        <stp>BDP|16248251061183353619</stp>
        <tr r="I8" s="2"/>
      </tp>
      <tp t="s">
        <v>#N/A N/A</v>
        <stp/>
        <stp>BDP|15117859248198084683</stp>
        <tr r="E39" s="2"/>
      </tp>
      <tp t="s">
        <v>#N/A N/A</v>
        <stp/>
        <stp>BDP|11973523003960597392</stp>
        <tr r="F38" s="2"/>
      </tp>
      <tp t="s">
        <v>#N/A N/A</v>
        <stp/>
        <stp>BDP|11344507590708334274</stp>
        <tr r="N22" s="2"/>
      </tp>
      <tp t="s">
        <v>#N/A N/A</v>
        <stp/>
        <stp>BDP|16172147279375076178</stp>
        <tr r="E12" s="2"/>
      </tp>
      <tp t="s">
        <v>#N/A N/A</v>
        <stp/>
        <stp>BDP|10239372447691116295</stp>
        <tr r="E2" s="2"/>
      </tp>
      <tp t="s">
        <v>#N/A N/A</v>
        <stp/>
        <stp>BDP|15220253263195981032</stp>
        <tr r="G7" s="2"/>
      </tp>
      <tp t="s">
        <v>#N/A N/A</v>
        <stp/>
        <stp>BDP|16450230945222924650</stp>
        <tr r="B30" s="2"/>
      </tp>
      <tp t="s">
        <v>#N/A N/A</v>
        <stp/>
        <stp>BDP|12933299154944653535</stp>
        <tr r="K39" s="2"/>
      </tp>
      <tp t="s">
        <v>#N/A N/A</v>
        <stp/>
        <stp>BDP|10772427310303524217</stp>
        <tr r="E9" s="2"/>
      </tp>
      <tp t="s">
        <v>#N/A N/A</v>
        <stp/>
        <stp>BDP|14862867020788634283</stp>
        <tr r="N29" s="2"/>
      </tp>
      <tp t="s">
        <v>#N/A N/A</v>
        <stp/>
        <stp>BDP|16745703659357904770</stp>
        <tr r="A16" s="2"/>
      </tp>
      <tp t="s">
        <v>#N/A N/A</v>
        <stp/>
        <stp>BDP|15693137700463308356</stp>
        <tr r="M28" s="2"/>
      </tp>
      <tp t="s">
        <v>#N/A N/A</v>
        <stp/>
        <stp>BDP|17655259317422179200</stp>
        <tr r="G12" s="2"/>
      </tp>
      <tp t="s">
        <v>#N/A N/A</v>
        <stp/>
        <stp>BDP|17153332747094927098</stp>
        <tr r="H3" s="2"/>
      </tp>
      <tp t="s">
        <v>#N/A N/A</v>
        <stp/>
        <stp>BDP|14346670793619562675</stp>
        <tr r="H38" s="2"/>
      </tp>
      <tp t="s">
        <v>#N/A N/A</v>
        <stp/>
        <stp>BDP|11039102020746687003</stp>
        <tr r="F26" s="2"/>
      </tp>
      <tp t="s">
        <v>#N/A N/A</v>
        <stp/>
        <stp>BDP|12646071930931199464</stp>
        <tr r="K20" s="2"/>
      </tp>
      <tp t="s">
        <v>#N/A N/A</v>
        <stp/>
        <stp>BDP|15883504228181288740</stp>
        <tr r="L21" s="2"/>
      </tp>
      <tp t="s">
        <v>#N/A N/A</v>
        <stp/>
        <stp>BDP|13483679625746998469</stp>
        <tr r="M4" s="2"/>
      </tp>
      <tp t="s">
        <v>#N/A N/A</v>
        <stp/>
        <stp>BDP|14134517262463397192</stp>
        <tr r="F9" s="2"/>
      </tp>
      <tp t="s">
        <v>#N/A N/A</v>
        <stp/>
        <stp>BDP|10233529971002197589</stp>
        <tr r="E28" s="2"/>
      </tp>
      <tp t="s">
        <v>#N/A N/A</v>
        <stp/>
        <stp>BDP|15253120608531238010</stp>
        <tr r="C20" s="2"/>
      </tp>
      <tp t="s">
        <v>#N/A N/A</v>
        <stp/>
        <stp>BDP|18322188485553099735</stp>
        <tr r="F27" s="2"/>
      </tp>
      <tp t="s">
        <v>#N/A N/A</v>
        <stp/>
        <stp>BDP|10163524263634853266</stp>
        <tr r="H18" s="2"/>
      </tp>
      <tp t="s">
        <v>#N/A N/A</v>
        <stp/>
        <stp>BDP|15330410038027902024</stp>
        <tr r="H24" s="2"/>
      </tp>
      <tp t="s">
        <v>#N/A N/A</v>
        <stp/>
        <stp>BDP|10764108242917217763</stp>
        <tr r="K15" s="2"/>
      </tp>
      <tp t="s">
        <v>#N/A N/A</v>
        <stp/>
        <stp>BDP|13073542007183399025</stp>
        <tr r="G8" s="2"/>
      </tp>
      <tp t="s">
        <v>#N/A N/A</v>
        <stp/>
        <stp>BDP|14074267188752848947</stp>
        <tr r="C27" s="2"/>
      </tp>
      <tp t="s">
        <v>#N/A N/A</v>
        <stp/>
        <stp>BDP|17264366244836235371</stp>
        <tr r="F20" s="2"/>
      </tp>
      <tp t="s">
        <v>#N/A N/A</v>
        <stp/>
        <stp>BDP|17014121657223389532</stp>
        <tr r="M27" s="2"/>
      </tp>
      <tp t="s">
        <v>#N/A N/A</v>
        <stp/>
        <stp>BDP|16544516746381694315</stp>
        <tr r="I37" s="2"/>
      </tp>
      <tp t="s">
        <v>#N/A N/A</v>
        <stp/>
        <stp>BDP|12070084915306923010</stp>
        <tr r="F31" s="2"/>
      </tp>
      <tp t="s">
        <v>#N/A N/A</v>
        <stp/>
        <stp>BDP|13618331961295464661</stp>
        <tr r="E23" s="2"/>
      </tp>
    </main>
    <main first="bofaddin.rtdserver">
      <tp t="s">
        <v>#N/A N/A</v>
        <stp/>
        <stp>BDP|6399621696062958740</stp>
        <tr r="G25" s="2"/>
      </tp>
      <tp t="s">
        <v>#N/A N/A</v>
        <stp/>
        <stp>BDP|6912237366077471909</stp>
        <tr r="I10" s="2"/>
      </tp>
      <tp t="s">
        <v>#N/A N/A</v>
        <stp/>
        <stp>BDP|8282645767312819612</stp>
        <tr r="H32" s="2"/>
      </tp>
      <tp t="s">
        <v>#N/A N/A</v>
        <stp/>
        <stp>BDP|6779566227935778882</stp>
        <tr r="A14" s="2"/>
      </tp>
      <tp t="s">
        <v>#N/A N/A</v>
        <stp/>
        <stp>BDP|5035224518873330972</stp>
        <tr r="A8" s="2"/>
      </tp>
      <tp t="s">
        <v>#N/A N/A</v>
        <stp/>
        <stp>BDP|1156403759509222547</stp>
        <tr r="N28" s="2"/>
      </tp>
      <tp t="s">
        <v>#N/A N/A</v>
        <stp/>
        <stp>BDP|3698885566014281569</stp>
        <tr r="B11" s="2"/>
      </tp>
      <tp t="s">
        <v>#N/A N/A</v>
        <stp/>
        <stp>BDP|4772653347932611803</stp>
        <tr r="L17" s="2"/>
      </tp>
      <tp t="s">
        <v>#N/A N/A</v>
        <stp/>
        <stp>BDP|2834907539626243205</stp>
        <tr r="K22" s="2"/>
      </tp>
      <tp t="s">
        <v>#N/A N/A</v>
        <stp/>
        <stp>BDP|8642426426106120406</stp>
        <tr r="A38" s="2"/>
      </tp>
      <tp t="s">
        <v>#N/A N/A</v>
        <stp/>
        <stp>BDP|1676222655322765867</stp>
        <tr r="M18" s="2"/>
      </tp>
      <tp t="s">
        <v>#N/A N/A</v>
        <stp/>
        <stp>BDP|7440275480509040820</stp>
        <tr r="H26" s="2"/>
      </tp>
      <tp t="s">
        <v>#N/A N/A</v>
        <stp/>
        <stp>BDP|4361153757695763977</stp>
        <tr r="A28" s="2"/>
      </tp>
      <tp t="s">
        <v>#N/A N/A</v>
        <stp/>
        <stp>BDP|3454826962307582672</stp>
        <tr r="G10" s="2"/>
      </tp>
      <tp t="s">
        <v>#N/A N/A</v>
        <stp/>
        <stp>BDP|7877625483092841773</stp>
        <tr r="G34" s="2"/>
      </tp>
      <tp t="s">
        <v>#N/A N/A</v>
        <stp/>
        <stp>BDP|2293427069254504885</stp>
        <tr r="C14" s="2"/>
      </tp>
      <tp t="s">
        <v>#N/A N/A</v>
        <stp/>
        <stp>BDP|7218277954875521902</stp>
        <tr r="M36" s="2"/>
      </tp>
      <tp t="s">
        <v>#N/A N/A</v>
        <stp/>
        <stp>BDP|5486231985483037074</stp>
        <tr r="E7" s="2"/>
      </tp>
      <tp t="s">
        <v>#N/A N/A</v>
        <stp/>
        <stp>BDP|2572270679232431855</stp>
        <tr r="H15" s="2"/>
      </tp>
      <tp t="s">
        <v>#N/A N/A</v>
        <stp/>
        <stp>BDP|3467958291368314699</stp>
        <tr r="E13" s="2"/>
      </tp>
      <tp t="s">
        <v>#N/A N/A</v>
        <stp/>
        <stp>BDP|4960148454724690957</stp>
        <tr r="A22" s="2"/>
      </tp>
      <tp t="s">
        <v>#N/A N/A</v>
        <stp/>
        <stp>BDP|9444603078951095478</stp>
        <tr r="K13" s="2"/>
      </tp>
      <tp t="s">
        <v>#N/A N/A</v>
        <stp/>
        <stp>BDP|7696317185318805930</stp>
        <tr r="E32" s="2"/>
      </tp>
      <tp t="s">
        <v>#N/A N/A</v>
        <stp/>
        <stp>BDP|9808705461242753719</stp>
        <tr r="I15" s="2"/>
      </tp>
      <tp t="s">
        <v>#N/A N/A</v>
        <stp/>
        <stp>BDP|4734117989737785778</stp>
        <tr r="L29" s="2"/>
      </tp>
      <tp t="s">
        <v>#N/A N/A</v>
        <stp/>
        <stp>BDP|3324111190300752688</stp>
        <tr r="F24" s="2"/>
      </tp>
      <tp t="s">
        <v>#N/A N/A</v>
        <stp/>
        <stp>BDP|7759510728628468579</stp>
        <tr r="E33" s="2"/>
      </tp>
      <tp t="s">
        <v>#N/A N/A</v>
        <stp/>
        <stp>BDP|8358021677647597507</stp>
        <tr r="N17" s="2"/>
      </tp>
      <tp t="s">
        <v>#N/A N/A</v>
        <stp/>
        <stp>BDP|6865488887664412305</stp>
        <tr r="N25" s="2"/>
      </tp>
      <tp t="s">
        <v>#N/A N/A</v>
        <stp/>
        <stp>BDP|1338048016414954983</stp>
        <tr r="I38" s="2"/>
      </tp>
      <tp t="s">
        <v>#N/A N/A</v>
        <stp/>
        <stp>BDP|3356668089174892444</stp>
        <tr r="M10" s="2"/>
      </tp>
      <tp t="s">
        <v>#N/A N/A</v>
        <stp/>
        <stp>BDP|7293910734492304221</stp>
        <tr r="A23" s="2"/>
      </tp>
      <tp t="s">
        <v>#N/A N/A</v>
        <stp/>
        <stp>BDP|1763567915759039127</stp>
        <tr r="M33" s="2"/>
      </tp>
      <tp t="s">
        <v>#N/A N/A</v>
        <stp/>
        <stp>BDP|5272064867739609721</stp>
        <tr r="C21" s="2"/>
      </tp>
      <tp t="s">
        <v>#N/A N/A</v>
        <stp/>
        <stp>BDP|5028125634872475861</stp>
        <tr r="C33" s="2"/>
      </tp>
      <tp t="s">
        <v>#N/A N/A</v>
        <stp/>
        <stp>BDP|2596453032721765911</stp>
        <tr r="I12" s="2"/>
      </tp>
      <tp t="s">
        <v>#N/A N/A</v>
        <stp/>
        <stp>BDP|9994420069531689707</stp>
        <tr r="L11" s="2"/>
      </tp>
      <tp t="s">
        <v>#N/A N/A</v>
        <stp/>
        <stp>BDP|3433782048529488458</stp>
        <tr r="L6" s="2"/>
      </tp>
      <tp t="s">
        <v>#N/A N/A</v>
        <stp/>
        <stp>BDP|5609248801951210896</stp>
        <tr r="K9" s="2"/>
      </tp>
      <tp t="s">
        <v>#N/A N/A</v>
        <stp/>
        <stp>BDP|8629717720627932413</stp>
        <tr r="M15" s="2"/>
      </tp>
      <tp t="s">
        <v>#N/A N/A</v>
        <stp/>
        <stp>BDP|1367610525259292287</stp>
        <tr r="A12" s="2"/>
      </tp>
      <tp t="s">
        <v>#N/A N/A</v>
        <stp/>
        <stp>BDP|9581793747163301750</stp>
        <tr r="K27" s="2"/>
      </tp>
      <tp t="s">
        <v>#N/A N/A</v>
        <stp/>
        <stp>BDP|2928294612296804978</stp>
        <tr r="E22" s="2"/>
      </tp>
      <tp t="s">
        <v>#N/A N/A</v>
        <stp/>
        <stp>BDP|5117436982574030329</stp>
        <tr r="L34" s="2"/>
      </tp>
      <tp t="s">
        <v>#N/A N/A</v>
        <stp/>
        <stp>BDP|5163454774439445168</stp>
        <tr r="F33" s="2"/>
      </tp>
      <tp t="s">
        <v>#N/A N/A</v>
        <stp/>
        <stp>BDP|5797632889860878566</stp>
        <tr r="A21" s="2"/>
      </tp>
      <tp t="s">
        <v>#N/A N/A</v>
        <stp/>
        <stp>BDP|9097731359471837420</stp>
        <tr r="B13" s="2"/>
      </tp>
      <tp t="s">
        <v>#N/A N/A</v>
        <stp/>
        <stp>BDP|3279062590962242610</stp>
        <tr r="B6" s="2"/>
      </tp>
      <tp t="s">
        <v>#N/A N/A</v>
        <stp/>
        <stp>BDP|8231302455731450173</stp>
        <tr r="I19" s="2"/>
      </tp>
      <tp t="s">
        <v>#N/A N/A</v>
        <stp/>
        <stp>BDP|5194881419742611186</stp>
        <tr r="L2" s="2"/>
      </tp>
      <tp t="s">
        <v>#N/A N/A</v>
        <stp/>
        <stp>BDP|8925338778063500098</stp>
        <tr r="I24" s="2"/>
      </tp>
      <tp t="s">
        <v>#N/A N/A</v>
        <stp/>
        <stp>BDP|8494758058594347163</stp>
        <tr r="L23" s="2"/>
      </tp>
      <tp t="s">
        <v>#N/A N/A</v>
        <stp/>
        <stp>BDP|4744286310098651045</stp>
        <tr r="I33" s="2"/>
      </tp>
      <tp t="s">
        <v>#N/A N/A</v>
        <stp/>
        <stp>BDP|4698351978916271940</stp>
        <tr r="N2" s="2"/>
      </tp>
      <tp t="s">
        <v>#N/A N/A</v>
        <stp/>
        <stp>BDP|9589675327934725618</stp>
        <tr r="M8" s="2"/>
      </tp>
      <tp t="s">
        <v>#N/A N/A</v>
        <stp/>
        <stp>BDP|1060604497962602316</stp>
        <tr r="G2" s="2"/>
      </tp>
      <tp t="s">
        <v>#N/A N/A</v>
        <stp/>
        <stp>BDP|4165194669575368936</stp>
        <tr r="A26" s="2"/>
      </tp>
      <tp t="s">
        <v>#N/A N/A</v>
        <stp/>
        <stp>BDP|8560105402192986489</stp>
        <tr r="A4" s="2"/>
      </tp>
      <tp t="s">
        <v>#N/A N/A</v>
        <stp/>
        <stp>BDP|6041082297487944718</stp>
        <tr r="H33" s="2"/>
      </tp>
      <tp t="s">
        <v>#N/A N/A</v>
        <stp/>
        <stp>BDP|8450606827516720506</stp>
        <tr r="K32" s="2"/>
      </tp>
      <tp t="s">
        <v>#N/A N/A</v>
        <stp/>
        <stp>BDP|6021810047456820454</stp>
        <tr r="A2" s="2"/>
      </tp>
      <tp t="s">
        <v>#N/A N/A</v>
        <stp/>
        <stp>BDP|1560093097236156628</stp>
        <tr r="C37" s="2"/>
      </tp>
      <tp t="s">
        <v>#N/A N/A</v>
        <stp/>
        <stp>BDP|2333207320579897332</stp>
        <tr r="I14" s="2"/>
      </tp>
      <tp t="s">
        <v>#N/A N/A</v>
        <stp/>
        <stp>BDP|6420203260222996842</stp>
        <tr r="F19" s="2"/>
      </tp>
      <tp t="s">
        <v>#N/A N/A</v>
        <stp/>
        <stp>BDP|4346821128444334249</stp>
        <tr r="C26" s="2"/>
      </tp>
      <tp t="s">
        <v>#N/A N/A</v>
        <stp/>
        <stp>BDP|3224928432138579996</stp>
        <tr r="N14" s="2"/>
      </tp>
      <tp t="s">
        <v>#N/A N/A</v>
        <stp/>
        <stp>BDP|2791084333428534150</stp>
        <tr r="M6" s="2"/>
      </tp>
      <tp t="s">
        <v>#N/A N/A</v>
        <stp/>
        <stp>BDP|8519497528406162099</stp>
        <tr r="H12" s="2"/>
      </tp>
      <tp t="s">
        <v>#N/A N/A</v>
        <stp/>
        <stp>BDP|3338723107164207882</stp>
        <tr r="F40" s="2"/>
      </tp>
      <tp t="s">
        <v>#N/A N/A</v>
        <stp/>
        <stp>BDP|7927340409058914402</stp>
        <tr r="M22" s="2"/>
      </tp>
      <tp t="s">
        <v>#N/A N/A</v>
        <stp/>
        <stp>BDP|5543991842239005934</stp>
        <tr r="C7" s="2"/>
      </tp>
      <tp t="s">
        <v>#N/A N/A</v>
        <stp/>
        <stp>BDP|5082866632183519503</stp>
        <tr r="B40" s="2"/>
      </tp>
      <tp t="s">
        <v>#N/A N/A</v>
        <stp/>
        <stp>BDP|9068769051702622109</stp>
        <tr r="E31" s="2"/>
      </tp>
      <tp t="s">
        <v>#N/A N/A</v>
        <stp/>
        <stp>BDP|5628603125589215078</stp>
        <tr r="B10" s="2"/>
      </tp>
      <tp t="s">
        <v>#N/A N/A</v>
        <stp/>
        <stp>BDP|9563445020501071673</stp>
        <tr r="K5" s="2"/>
      </tp>
      <tp t="s">
        <v>#N/A N/A</v>
        <stp/>
        <stp>BDP|3824442996726544089</stp>
        <tr r="L9" s="2"/>
      </tp>
      <tp t="s">
        <v>#N/A N/A</v>
        <stp/>
        <stp>BDP|3896495123299851513</stp>
        <tr r="M37" s="2"/>
      </tp>
      <tp t="s">
        <v>#N/A N/A</v>
        <stp/>
        <stp>BDP|5215364199576071057</stp>
        <tr r="I36" s="2"/>
      </tp>
      <tp t="s">
        <v>#N/A N/A</v>
        <stp/>
        <stp>BDP|4886894929040445753</stp>
        <tr r="K16" s="2"/>
      </tp>
      <tp t="s">
        <v>#N/A N/A</v>
        <stp/>
        <stp>BDP|7267027953812998936</stp>
        <tr r="A40" s="2"/>
      </tp>
      <tp t="s">
        <v>#N/A N/A</v>
        <stp/>
        <stp>BDP|3902004186911998361</stp>
        <tr r="L18" s="2"/>
      </tp>
      <tp t="s">
        <v>#N/A N/A</v>
        <stp/>
        <stp>BDP|7968796811361168968</stp>
        <tr r="B26" s="2"/>
      </tp>
      <tp t="s">
        <v>#N/A N/A</v>
        <stp/>
        <stp>BDP|8987444964702995160</stp>
        <tr r="G27" s="2"/>
      </tp>
      <tp t="s">
        <v>#N/A N/A</v>
        <stp/>
        <stp>BDP|4816997276236301534</stp>
        <tr r="G40" s="2"/>
      </tp>
      <tp t="s">
        <v>#N/A N/A</v>
        <stp/>
        <stp>BDP|4252652438868380376</stp>
        <tr r="G15" s="2"/>
      </tp>
      <tp t="s">
        <v>#N/A N/A</v>
        <stp/>
        <stp>BDP|1057712384352998621</stp>
        <tr r="E10" s="2"/>
      </tp>
      <tp t="s">
        <v>#N/A N/A</v>
        <stp/>
        <stp>BDP|7686394715437063865</stp>
        <tr r="H29" s="2"/>
      </tp>
      <tp t="s">
        <v>#N/A N/A</v>
        <stp/>
        <stp>BDP|8797247125617980527</stp>
        <tr r="L24" s="2"/>
      </tp>
      <tp t="s">
        <v>#N/A N/A</v>
        <stp/>
        <stp>BDP|3203584656968449188</stp>
        <tr r="G32" s="2"/>
      </tp>
      <tp t="s">
        <v>#N/A N/A</v>
        <stp/>
        <stp>BDP|4186764762956326963</stp>
        <tr r="G3" s="2"/>
      </tp>
      <tp t="s">
        <v>#N/A N/A</v>
        <stp/>
        <stp>BDP|9958528639746658335</stp>
        <tr r="F35" s="2"/>
      </tp>
      <tp t="s">
        <v>#N/A N/A</v>
        <stp/>
        <stp>BDP|1277841922185439478</stp>
        <tr r="M39" s="2"/>
      </tp>
      <tp t="s">
        <v>#N/A N/A</v>
        <stp/>
        <stp>BDP|3738557630327708823</stp>
        <tr r="H21" s="2"/>
      </tp>
      <tp t="s">
        <v>#N/A N/A</v>
        <stp/>
        <stp>BDP|5119288000294381807</stp>
        <tr r="L12" s="2"/>
      </tp>
      <tp t="s">
        <v>#N/A N/A</v>
        <stp/>
        <stp>BDP|7730286446008255217</stp>
        <tr r="E5" s="2"/>
      </tp>
      <tp t="s">
        <v>#N/A N/A</v>
        <stp/>
        <stp>BDP|5433942558596197424</stp>
        <tr r="N4" s="2"/>
      </tp>
      <tp t="s">
        <v>#N/A N/A</v>
        <stp/>
        <stp>BDP|3909840971197056071</stp>
        <tr r="H2" s="2"/>
      </tp>
      <tp t="s">
        <v>#N/A N/A</v>
        <stp/>
        <stp>BDP|5011263388877473348</stp>
        <tr r="A20" s="2"/>
      </tp>
      <tp t="s">
        <v>#N/A N/A</v>
        <stp/>
        <stp>BDP|5812202400635630916</stp>
        <tr r="F2" s="2"/>
      </tp>
      <tp t="s">
        <v>#N/A N/A</v>
        <stp/>
        <stp>BDP|5436603137168734394</stp>
        <tr r="E11" s="2"/>
      </tp>
      <tp t="s">
        <v>#N/A N/A</v>
        <stp/>
        <stp>BDP|6489873887975798837</stp>
        <tr r="K36" s="2"/>
      </tp>
      <tp t="s">
        <v>#N/A N/A</v>
        <stp/>
        <stp>BDP|9612808520938449021</stp>
        <tr r="G4" s="2"/>
      </tp>
      <tp t="s">
        <v>#N/A N/A</v>
        <stp/>
        <stp>BDP|6695430554399108549</stp>
        <tr r="F13" s="2"/>
      </tp>
      <tp t="s">
        <v>#N/A N/A</v>
        <stp/>
        <stp>BDP|9593754463821352259</stp>
        <tr r="K31" s="2"/>
      </tp>
      <tp t="s">
        <v>#N/A N/A</v>
        <stp/>
        <stp>BDP|4211275655272256584</stp>
        <tr r="E37" s="2"/>
      </tp>
      <tp t="s">
        <v>#N/A N/A</v>
        <stp/>
        <stp>BDP|4970738456310190267</stp>
        <tr r="N12" s="2"/>
      </tp>
      <tp t="s">
        <v>#N/A N/A</v>
        <stp/>
        <stp>BDP|6235287578741947603</stp>
        <tr r="N11" s="2"/>
      </tp>
      <tp t="s">
        <v>#N/A N/A</v>
        <stp/>
        <stp>BDP|7753479905321899653</stp>
        <tr r="G30" s="2"/>
      </tp>
      <tp t="s">
        <v>#N/A N/A</v>
        <stp/>
        <stp>BDP|3766090277021419145</stp>
        <tr r="C30" s="2"/>
      </tp>
      <tp t="s">
        <v>#N/A N/A</v>
        <stp/>
        <stp>BDP|9056000809118019569</stp>
        <tr r="A25" s="2"/>
      </tp>
      <tp t="s">
        <v>#N/A N/A</v>
        <stp/>
        <stp>BDP|3653692011767063711</stp>
        <tr r="A3" s="2"/>
      </tp>
      <tp t="s">
        <v>#N/A N/A</v>
        <stp/>
        <stp>BDP|7757088302222942194</stp>
        <tr r="B16" s="2"/>
      </tp>
      <tp t="s">
        <v>#N/A N/A</v>
        <stp/>
        <stp>BDP|1302754433878983914</stp>
        <tr r="B28" s="2"/>
      </tp>
      <tp t="s">
        <v>#N/A N/A</v>
        <stp/>
        <stp>BDP|1584535306195407566</stp>
        <tr r="F14" s="2"/>
      </tp>
      <tp t="s">
        <v>#N/A N/A</v>
        <stp/>
        <stp>BDP|3391390476685844666</stp>
        <tr r="L38" s="2"/>
      </tp>
      <tp t="s">
        <v>#N/A N/A</v>
        <stp/>
        <stp>BDP|5754312787818399200</stp>
        <tr r="N7" s="2"/>
      </tp>
      <tp t="s">
        <v>#N/A N/A</v>
        <stp/>
        <stp>BDP|1023626017340672206</stp>
        <tr r="E6" s="2"/>
      </tp>
      <tp t="s">
        <v>#N/A N/A</v>
        <stp/>
        <stp>BDP|8669869163551354302</stp>
        <tr r="K14" s="2"/>
      </tp>
      <tp t="s">
        <v>#N/A N/A</v>
        <stp/>
        <stp>BDP|5429022912046083630</stp>
        <tr r="E14" s="2"/>
      </tp>
      <tp t="s">
        <v>#N/A N/A</v>
        <stp/>
        <stp>BDP|7605007301063653067</stp>
        <tr r="N21" s="2"/>
      </tp>
      <tp t="s">
        <v>#N/A N/A</v>
        <stp/>
        <stp>BDP|4287441524953613509</stp>
        <tr r="C13" s="2"/>
      </tp>
      <tp t="s">
        <v>#N/A N/A</v>
        <stp/>
        <stp>BDP|9728154896114760179</stp>
        <tr r="C38" s="2"/>
      </tp>
      <tp t="s">
        <v>#N/A N/A</v>
        <stp/>
        <stp>BDP|9646528428419097398</stp>
        <tr r="N36" s="2"/>
      </tp>
      <tp t="s">
        <v>#N/A N/A</v>
        <stp/>
        <stp>BDP|7034743351595632465</stp>
        <tr r="G36" s="2"/>
      </tp>
      <tp t="s">
        <v>#N/A N/A</v>
        <stp/>
        <stp>BDP|2852226163731300202</stp>
        <tr r="F39" s="2"/>
      </tp>
      <tp t="s">
        <v>#N/A N/A</v>
        <stp/>
        <stp>BDP|6916320640764377043</stp>
        <tr r="G18" s="2"/>
      </tp>
      <tp t="s">
        <v>#N/A N/A</v>
        <stp/>
        <stp>BDP|2829124194589752654</stp>
        <tr r="C22" s="2"/>
      </tp>
      <tp t="s">
        <v>#N/A N/A</v>
        <stp/>
        <stp>BDP|6744972486433284194</stp>
        <tr r="N38" s="2"/>
      </tp>
      <tp t="s">
        <v>#N/A N/A</v>
        <stp/>
        <stp>BDP|4585567250044685574</stp>
        <tr r="M13" s="2"/>
      </tp>
      <tp t="s">
        <v>#N/A N/A</v>
        <stp/>
        <stp>BDP|6045795423707913110</stp>
        <tr r="C35" s="2"/>
      </tp>
      <tp t="s">
        <v>#N/A N/A</v>
        <stp/>
        <stp>BDP|6862157230811814039</stp>
        <tr r="C4" s="2"/>
      </tp>
      <tp t="s">
        <v>#N/A N/A</v>
        <stp/>
        <stp>BDP|7634042972295237050</stp>
        <tr r="L15" s="2"/>
      </tp>
      <tp t="s">
        <v>#N/A N/A</v>
        <stp/>
        <stp>BDP|9757562245428602555</stp>
        <tr r="E8" s="2"/>
      </tp>
      <tp t="s">
        <v>#N/A N/A</v>
        <stp/>
        <stp>BDP|9525839164346171477</stp>
        <tr r="L10" s="2"/>
      </tp>
      <tp t="s">
        <v>#N/A N/A</v>
        <stp/>
        <stp>BDP|3592599716965698786</stp>
        <tr r="I4" s="2"/>
      </tp>
      <tp t="s">
        <v>#N/A N/A</v>
        <stp/>
        <stp>BDP|1994293985357564958</stp>
        <tr r="H14" s="2"/>
      </tp>
      <tp t="s">
        <v>#N/A N/A</v>
        <stp/>
        <stp>BDP|4361176303707890456</stp>
        <tr r="G35" s="2"/>
      </tp>
      <tp t="s">
        <v>#N/A N/A</v>
        <stp/>
        <stp>BDP|7604143653581895434</stp>
        <tr r="G26" s="2"/>
      </tp>
      <tp t="s">
        <v>#N/A N/A</v>
        <stp/>
        <stp>BDP|1229887494450003669</stp>
        <tr r="B21" s="2"/>
      </tp>
      <tp t="s">
        <v>#N/A N/A</v>
        <stp/>
        <stp>BDP|7951684063897528697</stp>
        <tr r="M14" s="2"/>
      </tp>
      <tp t="s">
        <v>#N/A N/A</v>
        <stp/>
        <stp>BDP|6872139971277075197</stp>
        <tr r="K8" s="2"/>
      </tp>
      <tp t="s">
        <v>#N/A N/A</v>
        <stp/>
        <stp>BDP|7304307500922055034</stp>
        <tr r="F11" s="2"/>
      </tp>
      <tp t="s">
        <v>#N/A N/A</v>
        <stp/>
        <stp>BDP|4276507138030800423</stp>
        <tr r="F36" s="2"/>
      </tp>
      <tp t="s">
        <v>#N/A N/A</v>
        <stp/>
        <stp>BDP|4644627604353842781</stp>
        <tr r="N32" s="2"/>
      </tp>
      <tp t="s">
        <v>#N/A N/A</v>
        <stp/>
        <stp>BDP|4372288208827105731</stp>
        <tr r="A19" s="2"/>
      </tp>
      <tp t="s">
        <v>#N/A N/A</v>
        <stp/>
        <stp>BDP|4969208805619308984</stp>
        <tr r="N5" s="2"/>
      </tp>
      <tp t="s">
        <v>#N/A N/A</v>
        <stp/>
        <stp>BDP|7198676814330571604</stp>
        <tr r="L7" s="2"/>
      </tp>
      <tp t="s">
        <v>#N/A N/A</v>
        <stp/>
        <stp>BDP|8944888777516137731</stp>
        <tr r="M21" s="2"/>
      </tp>
      <tp t="s">
        <v>#N/A N/A</v>
        <stp/>
        <stp>BDP|5612145803455558703</stp>
        <tr r="C31" s="2"/>
      </tp>
      <tp t="s">
        <v>#N/A N/A</v>
        <stp/>
        <stp>BDP|9148532691640470322</stp>
        <tr r="M2" s="2"/>
      </tp>
      <tp t="s">
        <v>#N/A N/A</v>
        <stp/>
        <stp>BDP|6882194311968994920</stp>
        <tr r="L8" s="2"/>
      </tp>
      <tp t="s">
        <v>#N/A N/A</v>
        <stp/>
        <stp>BDP|6817421406316747301</stp>
        <tr r="I18" s="2"/>
      </tp>
      <tp t="s">
        <v>#N/A N/A</v>
        <stp/>
        <stp>BDP|7189019423313239197</stp>
        <tr r="K24" s="2"/>
      </tp>
      <tp t="s">
        <v>#N/A N/A</v>
        <stp/>
        <stp>BDP|2006241051424370699</stp>
        <tr r="C10" s="2"/>
      </tp>
      <tp t="s">
        <v>#N/A N/A</v>
        <stp/>
        <stp>BDP|2355350709726211011</stp>
        <tr r="A18" s="2"/>
      </tp>
      <tp t="s">
        <v>#N/A N/A</v>
        <stp/>
        <stp>BDP|4907449066159793810</stp>
        <tr r="H5" s="2"/>
      </tp>
      <tp t="s">
        <v>#N/A N/A</v>
        <stp/>
        <stp>BDP|4125782149264570484</stp>
        <tr r="C8" s="2"/>
      </tp>
      <tp t="s">
        <v>#N/A N/A</v>
        <stp/>
        <stp>BDP|5057749221993698403</stp>
        <tr r="G39" s="2"/>
      </tp>
      <tp t="s">
        <v>#N/A N/A</v>
        <stp/>
        <stp>BDP|3031318275226214662</stp>
        <tr r="G17" s="2"/>
      </tp>
      <tp t="s">
        <v>#N/A N/A</v>
        <stp/>
        <stp>BDP|7196807608980147883</stp>
        <tr r="G29" s="2"/>
      </tp>
      <tp t="s">
        <v>#N/A N/A</v>
        <stp/>
        <stp>BDP|4749045430402720240</stp>
        <tr r="A39" s="2"/>
      </tp>
      <tp t="s">
        <v>#N/A N/A</v>
        <stp/>
        <stp>BDP|5826332576360883646</stp>
        <tr r="A32" s="2"/>
      </tp>
      <tp t="s">
        <v>#N/A N/A</v>
        <stp/>
        <stp>BDP|9673578380001277250</stp>
        <tr r="L37" s="2"/>
      </tp>
      <tp t="s">
        <v>#N/A N/A</v>
        <stp/>
        <stp>BDP|9237262372612045909</stp>
        <tr r="I7" s="2"/>
      </tp>
      <tp t="s">
        <v>#N/A N/A</v>
        <stp/>
        <stp>BDP|4958627297598204488</stp>
        <tr r="H25" s="2"/>
      </tp>
      <tp t="s">
        <v>#N/A N/A</v>
        <stp/>
        <stp>BDP|5554814484612542033</stp>
        <tr r="F10" s="2"/>
      </tp>
      <tp t="s">
        <v>#N/A N/A</v>
        <stp/>
        <stp>BDP|5815582507420824791</stp>
        <tr r="C19" s="2"/>
      </tp>
      <tp t="s">
        <v>#N/A N/A</v>
        <stp/>
        <stp>BDP|8217331577573592844</stp>
        <tr r="L26" s="2"/>
      </tp>
      <tp t="s">
        <v>#N/A N/A</v>
        <stp/>
        <stp>BDP|9522355765929435269</stp>
        <tr r="E16" s="2"/>
      </tp>
      <tp t="s">
        <v>#N/A N/A</v>
        <stp/>
        <stp>BDP|6099474248498302990</stp>
        <tr r="H4" s="2"/>
      </tp>
      <tp t="s">
        <v>#N/A N/A</v>
        <stp/>
        <stp>BDP|7005241814193195041</stp>
        <tr r="F23" s="2"/>
      </tp>
      <tp t="s">
        <v>#N/A N/A</v>
        <stp/>
        <stp>BDP|2713232567464219297</stp>
        <tr r="N33" s="2"/>
      </tp>
      <tp t="s">
        <v>#N/A N/A</v>
        <stp/>
        <stp>BDP|2901165475055064137</stp>
        <tr r="K17" s="2"/>
      </tp>
      <tp t="s">
        <v>#N/A N/A</v>
        <stp/>
        <stp>BDP|8186522048038176155</stp>
        <tr r="H27" s="2"/>
      </tp>
      <tp t="s">
        <v>#N/A N/A</v>
        <stp/>
        <stp>BDP|5029572338263937097</stp>
        <tr r="M20" s="2"/>
      </tp>
      <tp t="s">
        <v>#N/A N/A</v>
        <stp/>
        <stp>BDP|3045640369940970385</stp>
        <tr r="K25" s="2"/>
      </tp>
      <tp t="s">
        <v>#N/A N/A</v>
        <stp/>
        <stp>BDP|1528981167478133669</stp>
        <tr r="E20" s="2"/>
      </tp>
      <tp t="s">
        <v>#N/A N/A</v>
        <stp/>
        <stp>BDP|5648359178301415020</stp>
        <tr r="C15" s="2"/>
      </tp>
      <tp t="s">
        <v>#N/A N/A</v>
        <stp/>
        <stp>BDP|4310538240014640163</stp>
        <tr r="E29" s="2"/>
      </tp>
      <tp t="s">
        <v>#N/A N/A</v>
        <stp/>
        <stp>BDP|7331808704859124665</stp>
        <tr r="I39" s="2"/>
      </tp>
      <tp t="s">
        <v>#N/A N/A</v>
        <stp/>
        <stp>BDP|3566196300490516288</stp>
        <tr r="I13" s="2"/>
      </tp>
      <tp t="s">
        <v>#N/A N/A</v>
        <stp/>
        <stp>BDP|2603791901975777081</stp>
        <tr r="I6" s="2"/>
      </tp>
      <tp t="s">
        <v>#N/A N/A</v>
        <stp/>
        <stp>BDP|7583062055446774409</stp>
        <tr r="B7" s="2"/>
      </tp>
      <tp t="s">
        <v>#N/A N/A</v>
        <stp/>
        <stp>BDP|9516553427708538634</stp>
        <tr r="N24" s="2"/>
      </tp>
      <tp t="s">
        <v>#N/A N/A</v>
        <stp/>
        <stp>BDP|6244742211816565671</stp>
        <tr r="M7" s="2"/>
      </tp>
      <tp t="s">
        <v>#N/A N/A</v>
        <stp/>
        <stp>BDP|9237868064087167046</stp>
        <tr r="N34" s="2"/>
      </tp>
      <tp t="s">
        <v>#N/A N/A</v>
        <stp/>
        <stp>BDP|6450392236332952592</stp>
        <tr r="H10" s="2"/>
      </tp>
      <tp t="s">
        <v>#N/A N/A</v>
        <stp/>
        <stp>BDP|1941006010174243550</stp>
        <tr r="C6" s="2"/>
      </tp>
      <tp t="s">
        <v>#N/A N/A</v>
        <stp/>
        <stp>BDP|4208993760153037948</stp>
        <tr r="C34" s="2"/>
      </tp>
      <tp t="s">
        <v>#N/A N/A</v>
        <stp/>
        <stp>BDP|6650180240540674276</stp>
        <tr r="B37" s="2"/>
      </tp>
      <tp t="s">
        <v>#N/A N/A</v>
        <stp/>
        <stp>BDP|5833711778344623082</stp>
        <tr r="F16" s="2"/>
      </tp>
      <tp t="s">
        <v>#N/A N/A</v>
        <stp/>
        <stp>BDP|9695841552205417093</stp>
        <tr r="C39" s="2"/>
      </tp>
      <tp t="s">
        <v>#N/A N/A</v>
        <stp/>
        <stp>BDP|3050584845833963091</stp>
        <tr r="G14" s="2"/>
      </tp>
      <tp t="s">
        <v>#N/A N/A</v>
        <stp/>
        <stp>BDP|5188193260942804128</stp>
        <tr r="B39" s="2"/>
      </tp>
      <tp t="s">
        <v>#N/A N/A</v>
        <stp/>
        <stp>BDP|7956058058263684005</stp>
        <tr r="B23" s="2"/>
      </tp>
      <tp t="s">
        <v>#N/A N/A</v>
        <stp/>
        <stp>BDP|3056736432680725665</stp>
        <tr r="F12" s="2"/>
      </tp>
      <tp t="s">
        <v>#N/A N/A</v>
        <stp/>
        <stp>BDP|5660328883389782619</stp>
        <tr r="H40" s="2"/>
      </tp>
      <tp t="s">
        <v>#N/A N/A</v>
        <stp/>
        <stp>BDP|9608345831908193036</stp>
        <tr r="F28" s="2"/>
      </tp>
      <tp t="s">
        <v>#N/A N/A</v>
        <stp/>
        <stp>BDP|3384648047176525612</stp>
        <tr r="N15" s="2"/>
      </tp>
      <tp t="s">
        <v>#N/A N/A</v>
        <stp/>
        <stp>BDP|3097728916903949784</stp>
        <tr r="E19" s="2"/>
      </tp>
      <tp t="s">
        <v>#N/A N/A</v>
        <stp/>
        <stp>BDP|6143835032308666434</stp>
        <tr r="I30" s="2"/>
      </tp>
      <tp t="s">
        <v>#N/A N/A</v>
        <stp/>
        <stp>BDP|6956646426235522568</stp>
        <tr r="F5" s="2"/>
      </tp>
      <tp t="s">
        <v>#N/A N/A</v>
        <stp/>
        <stp>BDP|4397847019948444734</stp>
        <tr r="H13" s="2"/>
      </tp>
      <tp t="s">
        <v>#N/A N/A</v>
        <stp/>
        <stp>BDP|7621301238202908785</stp>
        <tr r="C17" s="2"/>
      </tp>
      <tp t="s">
        <v>#N/A N/A</v>
        <stp/>
        <stp>BDP|7338297155012178015</stp>
        <tr r="A5" s="2"/>
      </tp>
      <tp t="s">
        <v>#N/A N/A</v>
        <stp/>
        <stp>BDP|3059497859708946847</stp>
        <tr r="B2" s="2"/>
      </tp>
      <tp t="s">
        <v>#N/A N/A</v>
        <stp/>
        <stp>BDP|2173245586139299330</stp>
        <tr r="F21" s="2"/>
      </tp>
      <tp t="s">
        <v>#N/A N/A</v>
        <stp/>
        <stp>BDP|6005703155350572623</stp>
        <tr r="F15" s="2"/>
      </tp>
      <tp t="s">
        <v>#N/A N/A</v>
        <stp/>
        <stp>BDP|3545886898950441018</stp>
        <tr r="C12" s="2"/>
      </tp>
      <tp t="s">
        <v>#N/A N/A</v>
        <stp/>
        <stp>BDP|6196844445120089812</stp>
        <tr r="C3" s="2"/>
      </tp>
      <tp t="s">
        <v>#N/A N/A</v>
        <stp/>
        <stp>BDP|2347697317181926601</stp>
        <tr r="I27" s="2"/>
      </tp>
      <tp t="s">
        <v>#N/A N/A</v>
        <stp/>
        <stp>BDP|7264188027451042785</stp>
        <tr r="B22" s="2"/>
      </tp>
      <tp t="s">
        <v>#N/A N/A</v>
        <stp/>
        <stp>BDP|8145578243153560856</stp>
        <tr r="E15" s="2"/>
      </tp>
      <tp t="s">
        <v>#N/A N/A</v>
        <stp/>
        <stp>BDP|1767708880979899452</stp>
        <tr r="N26" s="2"/>
      </tp>
      <tp t="s">
        <v>#N/A N/A</v>
        <stp/>
        <stp>BDP|7925966697001472572</stp>
        <tr r="H37" s="2"/>
      </tp>
      <tp t="s">
        <v>#N/A N/A</v>
        <stp/>
        <stp>BDP|1811432540197598569</stp>
        <tr r="F4" s="2"/>
      </tp>
      <tp t="s">
        <v>#N/A N/A</v>
        <stp/>
        <stp>BDP|2322776132437643281</stp>
        <tr r="N8" s="2"/>
      </tp>
      <tp t="s">
        <v>#N/A N/A</v>
        <stp/>
        <stp>BDP|6542498120440119332</stp>
        <tr r="B32" s="2"/>
      </tp>
      <tp t="s">
        <v>#N/A N/A</v>
        <stp/>
        <stp>BDP|4442146079301273056</stp>
        <tr r="L28" s="2"/>
      </tp>
      <tp t="s">
        <v>#N/A N/A</v>
        <stp/>
        <stp>BDP|6809731790272648934</stp>
        <tr r="C23" s="2"/>
      </tp>
      <tp t="s">
        <v>#N/A N/A</v>
        <stp/>
        <stp>BDP|9903038821560106863</stp>
        <tr r="M30" s="2"/>
      </tp>
      <tp t="s">
        <v>#N/A N/A</v>
        <stp/>
        <stp>BDP|5338532638044151456</stp>
        <tr r="E3" s="2"/>
      </tp>
      <tp t="s">
        <v>#N/A N/A</v>
        <stp/>
        <stp>BDP|3227107013711894144</stp>
        <tr r="L25" s="2"/>
      </tp>
      <tp t="s">
        <v>#N/A N/A</v>
        <stp/>
        <stp>BDP|1902060136769996825</stp>
        <tr r="M16" s="2"/>
      </tp>
      <tp t="s">
        <v>#N/A N/A</v>
        <stp/>
        <stp>BDP|2307656975092507259</stp>
        <tr r="B34" s="2"/>
      </tp>
      <tp t="s">
        <v>#N/A N/A</v>
        <stp/>
        <stp>BDP|2622500600884790020</stp>
        <tr r="L13" s="2"/>
      </tp>
      <tp t="s">
        <v>#N/A N/A</v>
        <stp/>
        <stp>BDP|3408355015387249561</stp>
        <tr r="F7" s="2"/>
      </tp>
      <tp t="s">
        <v>#N/A N/A</v>
        <stp/>
        <stp>BDP|5265582864591917475</stp>
        <tr r="C25" s="2"/>
      </tp>
      <tp t="s">
        <v>#N/A N/A</v>
        <stp/>
        <stp>BDP|4285197069845682550</stp>
        <tr r="G38" s="2"/>
      </tp>
      <tp t="s">
        <v>#N/A N/A</v>
        <stp/>
        <stp>BDP|8651945733713957293</stp>
        <tr r="G21" s="2"/>
      </tp>
      <tp t="s">
        <v>#N/A N/A</v>
        <stp/>
        <stp>BDP|3307019765981215702</stp>
        <tr r="I34" s="2"/>
      </tp>
      <tp t="s">
        <v>#N/A N/A</v>
        <stp/>
        <stp>BDP|90284258993396859</stp>
        <tr r="H8" s="2"/>
      </tp>
      <tp t="s">
        <v>#N/A N/A</v>
        <stp/>
        <stp>BDP|99690704321873453</stp>
        <tr r="F18" s="2"/>
      </tp>
      <tp t="s">
        <v>#N/A N/A</v>
        <stp/>
        <stp>BDP|818541705637660767</stp>
        <tr r="F34" s="2"/>
      </tp>
      <tp t="s">
        <v>#N/A N/A</v>
        <stp/>
        <stp>BDP|794180021067251189</stp>
        <tr r="G33" s="2"/>
      </tp>
      <tp t="s">
        <v>#N/A N/A</v>
        <stp/>
        <stp>BDP|659629791678715258</stp>
        <tr r="H31" s="2"/>
      </tp>
      <tp t="s">
        <v>#N/A N/A</v>
        <stp/>
        <stp>BDP|280709358366209188</stp>
        <tr r="N18" s="2"/>
      </tp>
      <tp t="s">
        <v>#N/A N/A</v>
        <stp/>
        <stp>BDP|312470921834613710</stp>
        <tr r="N13" s="2"/>
      </tp>
      <tp t="s">
        <v>#N/A N/A</v>
        <stp/>
        <stp>BDP|762298533646463386</stp>
        <tr r="M34" s="2"/>
      </tp>
      <tp t="s">
        <v>#N/A N/A</v>
        <stp/>
        <stp>BDP|750753333335787697</stp>
        <tr r="C9" s="2"/>
      </tp>
      <tp t="s">
        <v>#N/A N/A</v>
        <stp/>
        <stp>BDP|211595061996269227</stp>
        <tr r="K18" s="2"/>
      </tp>
      <tp t="s">
        <v>#N/A N/A</v>
        <stp/>
        <stp>BDP|265121823557629291</stp>
        <tr r="A17" s="2"/>
      </tp>
      <tp t="s">
        <v>#N/A N/A</v>
        <stp/>
        <stp>BDP|189547234496651620</stp>
        <tr r="N6" s="2"/>
      </tp>
      <tp t="s">
        <v>#N/A N/A</v>
        <stp/>
        <stp>BDP|292260193974118978</stp>
        <tr r="L19" s="2"/>
      </tp>
      <tp t="s">
        <v>#N/A N/A</v>
        <stp/>
        <stp>BDP|947056214179173964</stp>
        <tr r="N9" s="2"/>
      </tp>
      <tp t="s">
        <v>#N/A N/A</v>
        <stp/>
        <stp>BDP|653967088657051731</stp>
        <tr r="K21" s="2"/>
      </tp>
      <tp t="s">
        <v>#N/A N/A</v>
        <stp/>
        <stp>BDP|436092773125635333</stp>
        <tr r="L27" s="2"/>
      </tp>
      <tp t="s">
        <v>#N/A N/A</v>
        <stp/>
        <stp>BDP|751555738965484393</stp>
        <tr r="K33" s="2"/>
      </tp>
      <tp t="s">
        <v>#N/A N/A</v>
        <stp/>
        <stp>BDP|408487436085945247</stp>
        <tr r="B33" s="2"/>
      </tp>
      <tp t="s">
        <v>#N/A N/A</v>
        <stp/>
        <stp>BDP|606504569505568541</stp>
        <tr r="G11" s="2"/>
      </tp>
      <tp t="s">
        <v>#N/A N/A</v>
        <stp/>
        <stp>BDP|897564203266251047</stp>
        <tr r="C2" s="2"/>
      </tp>
      <tp t="s">
        <v>#N/A N/A</v>
        <stp/>
        <stp>BDP|698136606185625754</stp>
        <tr r="B5" s="2"/>
      </tp>
      <tp t="s">
        <v>#N/A N/A</v>
        <stp/>
        <stp>BDP|731196663355040067</stp>
        <tr r="L3" s="2"/>
      </tp>
      <tp t="s">
        <v>#N/A N/A</v>
        <stp/>
        <stp>BDP|535410624413265955</stp>
        <tr r="C29" s="2"/>
      </tp>
      <tp t="s">
        <v>#N/A N/A</v>
        <stp/>
        <stp>BDP|691512129961170923</stp>
        <tr r="E26" s="2"/>
      </tp>
      <tp t="s">
        <v>#N/A N/A</v>
        <stp/>
        <stp>BDP|230200387683057093</stp>
        <tr r="K12" s="2"/>
      </tp>
      <tp t="s">
        <v>#N/A N/A</v>
        <stp/>
        <stp>BDP|666859807353430351</stp>
        <tr r="E35" s="2"/>
      </tp>
      <tp t="s">
        <v>#N/A N/A</v>
        <stp/>
        <stp>BDP|100318283135797654</stp>
        <tr r="I25" s="2"/>
      </tp>
      <tp t="s">
        <v>#N/A N/A</v>
        <stp/>
        <stp>BDP|514630547069884073</stp>
        <tr r="M3" s="2"/>
      </tp>
      <tp t="s">
        <v>#N/A N/A</v>
        <stp/>
        <stp>BDP|500160697203822077</stp>
        <tr r="E21" s="2"/>
      </tp>
      <tp t="s">
        <v>#N/A N/A</v>
        <stp/>
        <stp>BDP|864580148448885352</stp>
        <tr r="G23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workbookViewId="0"/>
  </sheetViews>
  <sheetFormatPr defaultRowHeight="15" x14ac:dyDescent="0.25"/>
  <cols>
    <col min="1" max="3" width="9.140625" bestFit="1" customWidth="1"/>
    <col min="4" max="4" width="13" bestFit="1" customWidth="1"/>
    <col min="5" max="9" width="9.140625" bestFit="1" customWidth="1"/>
    <col min="10" max="10" width="10" bestFit="1" customWidth="1"/>
    <col min="11" max="14" width="9.140625" bestFit="1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tr">
        <f>_xll.BDP("!!03J2XW Mtge","ID_CUSIP")</f>
        <v>74970WAJ9</v>
      </c>
      <c r="B2" t="str">
        <f>_xll.BDP("!!03J2XW Mtge","SECURITY_NAME")</f>
        <v>ROCC 2024-CNTR E</v>
      </c>
      <c r="C2">
        <f>_xll.BDP("!!03J2XW Mtge","ISSUE_YLD")</f>
        <v>8.9074600000000004</v>
      </c>
      <c r="D2">
        <v>494855000</v>
      </c>
      <c r="E2" t="str">
        <f>_xll.BDP("!!03J2XW Mtge","MATURITY")</f>
        <v>11/13/2041</v>
      </c>
      <c r="F2" t="str">
        <f>_xll.BDP("!!03J2XW Mtge","ISSUE_DT")</f>
        <v>10/1/2024</v>
      </c>
      <c r="G2" t="str">
        <f>_xll.BDP("!!03J2XW Mtge","MTG_TRANCHE_TYP_LONG")</f>
        <v>SUB</v>
      </c>
      <c r="H2" t="str">
        <f>_xll.BDP("!!03J2XW Mtge","MTG_DEAL_TYP")</f>
        <v>CMBS-SASB</v>
      </c>
      <c r="I2" t="str">
        <f>_xll.BDP("!!03J2XW Mtge","CRNCY")</f>
        <v>USD</v>
      </c>
      <c r="J2">
        <v>494855000</v>
      </c>
      <c r="K2">
        <f>_xll.BDP("!!03J2XW Mtge","CPN")</f>
        <v>8.8190600000000003</v>
      </c>
      <c r="L2">
        <f>_xll.BDP("!!03J2XW Mtge","MTG_FACTOR")</f>
        <v>1</v>
      </c>
      <c r="M2">
        <f>_xll.BDP("!!03J2XW Mtge","MTG_WAL")</f>
        <v>3.8917000000000002</v>
      </c>
      <c r="N2">
        <f>_xll.BDP("!!03J2XW Mtge","MTG_ORIG_WAL")</f>
        <v>5.0361099999999999</v>
      </c>
    </row>
    <row r="3" spans="1:14" x14ac:dyDescent="0.25">
      <c r="A3" t="str">
        <f>_xll.BDP("!!03NR6V Mtge","ID_CUSIP")</f>
        <v>266895AG6</v>
      </c>
      <c r="B3" t="str">
        <f>_xll.BDP("!!03NR6V Mtge","SECURITY_NAME")</f>
        <v>DURST 2025-151 D</v>
      </c>
      <c r="C3">
        <f>_xll.BDP("!!03NR6V Mtge","ISSUE_YLD")</f>
        <v>6.9451999999999998</v>
      </c>
      <c r="D3">
        <v>254300000</v>
      </c>
      <c r="E3" t="str">
        <f>_xll.BDP("!!03NR6V Mtge","MATURITY")</f>
        <v>8/10/2042</v>
      </c>
      <c r="F3" t="str">
        <f>_xll.BDP("!!03NR6V Mtge","ISSUE_DT")</f>
        <v>8/1/2025</v>
      </c>
      <c r="G3" t="str">
        <f>_xll.BDP("!!03NR6V Mtge","MTG_TRANCHE_TYP_LONG")</f>
        <v>SUB,CSTR</v>
      </c>
      <c r="H3" t="str">
        <f>_xll.BDP("!!03NR6V Mtge","MTG_DEAL_TYP")</f>
        <v>CMBS-SASB</v>
      </c>
      <c r="I3" t="str">
        <f>_xll.BDP("!!03NR6V Mtge","CRNCY")</f>
        <v>USD</v>
      </c>
      <c r="J3">
        <v>254300000</v>
      </c>
      <c r="K3">
        <f>_xll.BDP("!!03NR6V Mtge","CPN")</f>
        <v>6.7911299999999999</v>
      </c>
      <c r="L3">
        <f>_xll.BDP("!!03NR6V Mtge","MTG_FACTOR")</f>
        <v>1</v>
      </c>
      <c r="M3">
        <f>_xll.BDP("!!03NR6V Mtge","MTG_WAL")</f>
        <v>4.6333000000000002</v>
      </c>
      <c r="N3">
        <f>_xll.BDP("!!03NR6V Mtge","MTG_ORIG_WAL")</f>
        <v>4.9800000000000004</v>
      </c>
    </row>
    <row r="4" spans="1:14" x14ac:dyDescent="0.25">
      <c r="A4" t="str">
        <f>_xll.BDP("!!03MC7G Mtge","ID_CUSIP")</f>
        <v>05616HAA5</v>
      </c>
      <c r="B4" t="str">
        <f>_xll.BDP("!!03MC7G Mtge","SECURITY_NAME")</f>
        <v>BX 2025-LIFE A</v>
      </c>
      <c r="C4">
        <f>_xll.BDP("!!03MC7G Mtge","ISSUE_YLD")</f>
        <v>6.0324999999999998</v>
      </c>
      <c r="D4">
        <v>415150000</v>
      </c>
      <c r="E4" t="str">
        <f>_xll.BDP("!!03MC7G Mtge","MATURITY")</f>
        <v>6/13/2047</v>
      </c>
      <c r="F4" t="str">
        <f>_xll.BDP("!!03MC7G Mtge","ISSUE_DT")</f>
        <v>6/1/2025</v>
      </c>
      <c r="G4" t="str">
        <f>_xll.BDP("!!03MC7G Mtge","MTG_TRANCHE_TYP_LONG")</f>
        <v>CSTR,SEQ</v>
      </c>
      <c r="H4" t="str">
        <f>_xll.BDP("!!03MC7G Mtge","MTG_DEAL_TYP")</f>
        <v>CMBS-SASB</v>
      </c>
      <c r="I4" t="str">
        <f>_xll.BDP("!!03MC7G Mtge","CRNCY")</f>
        <v>USD</v>
      </c>
      <c r="J4">
        <v>415150000</v>
      </c>
      <c r="K4">
        <f>_xll.BDP("!!03MC7G Mtge","CPN")</f>
        <v>5.8836000000000004</v>
      </c>
      <c r="L4">
        <f>_xll.BDP("!!03MC7G Mtge","MTG_FACTOR")</f>
        <v>1</v>
      </c>
      <c r="M4">
        <f>_xll.BDP("!!03MC7G Mtge","MTG_WAL")</f>
        <v>9.4749999999999996</v>
      </c>
      <c r="N4">
        <f>_xll.BDP("!!03MC7G Mtge","MTG_ORIG_WAL")</f>
        <v>10.02</v>
      </c>
    </row>
    <row r="5" spans="1:14" x14ac:dyDescent="0.25">
      <c r="A5" t="str">
        <f>_xll.BDP("!!03GDQM Mtge","ID_CUSIP")</f>
        <v>00255JAB6</v>
      </c>
      <c r="B5" t="str">
        <f>_xll.BDP("!!03GDQM Mtge","SECURITY_NAME")</f>
        <v>AASET 2024-1A A2</v>
      </c>
      <c r="C5">
        <f>_xll.BDP("!!03GDQM Mtge","ISSUE_YLD")</f>
        <v>6.351</v>
      </c>
      <c r="D5">
        <v>296044318</v>
      </c>
      <c r="E5" t="str">
        <f>_xll.BDP("!!03GDQM Mtge","MATURITY")</f>
        <v>5/16/2049</v>
      </c>
      <c r="F5" t="str">
        <f>_xll.BDP("!!03GDQM Mtge","ISSUE_DT")</f>
        <v>7/10/2024</v>
      </c>
      <c r="G5" t="str">
        <f>_xll.BDP("!!03GDQM Mtge","MTG_TRANCHE_TYP_LONG")</f>
        <v>SEQ</v>
      </c>
      <c r="H5" t="str">
        <f>_xll.BDP("!!03GDQM Mtge","MTG_DEAL_TYP")</f>
        <v>PLANES</v>
      </c>
      <c r="I5" t="str">
        <f>_xll.BDP("!!03GDQM Mtge","CRNCY")</f>
        <v>USD</v>
      </c>
      <c r="J5">
        <v>321195000</v>
      </c>
      <c r="K5">
        <f>_xll.BDP("!!03GDQM Mtge","CPN")</f>
        <v>6.2610000000000001</v>
      </c>
      <c r="L5">
        <f>_xll.BDP("!!03GDQM Mtge","MTG_FACTOR")</f>
        <v>0.92169653330000001</v>
      </c>
      <c r="M5">
        <f>_xll.BDP("!!03GDQM Mtge","MTG_WAL")</f>
        <v>4.4371</v>
      </c>
      <c r="N5">
        <f>_xll.BDP("!!03GDQM Mtge","MTG_ORIG_WAL")</f>
        <v>5.44</v>
      </c>
    </row>
    <row r="6" spans="1:14" x14ac:dyDescent="0.25">
      <c r="A6" t="str">
        <f>_xll.BDP("!!03GS0N Mtge","ID_CUSIP")</f>
        <v>22689LAA3</v>
      </c>
      <c r="B6" t="str">
        <f>_xll.BDP("!!03GS0N Mtge","SECURITY_NAME")</f>
        <v>EQS 2024-1C A</v>
      </c>
      <c r="C6">
        <f>_xll.BDP("!!03GS0N Mtge","ISSUE_YLD")</f>
        <v>6.1319999999999997</v>
      </c>
      <c r="D6">
        <v>279416666.67000002</v>
      </c>
      <c r="E6" t="str">
        <f>_xll.BDP("!!03GS0N Mtge","MATURITY")</f>
        <v>1/20/2031</v>
      </c>
      <c r="F6" t="str">
        <f>_xll.BDP("!!03GS0N Mtge","ISSUE_DT")</f>
        <v>8/7/2024</v>
      </c>
      <c r="G6" t="str">
        <f>_xll.BDP("!!03GS0N Mtge","MTG_TRANCHE_TYP_LONG")</f>
        <v>SEQ</v>
      </c>
      <c r="H6" t="str">
        <f>_xll.BDP("!!03GS0N Mtge","MTG_DEAL_TYP")</f>
        <v>EQUIPMENT</v>
      </c>
      <c r="I6" t="str">
        <f>_xll.BDP("!!03GS0N Mtge","CRNCY")</f>
        <v>USD</v>
      </c>
      <c r="J6">
        <v>368830000</v>
      </c>
      <c r="K6">
        <f>_xll.BDP("!!03GS0N Mtge","CPN")</f>
        <v>6.05</v>
      </c>
      <c r="L6">
        <f>_xll.BDP("!!03GS0N Mtge","MTG_FACTOR")</f>
        <v>0.75757575759999995</v>
      </c>
      <c r="M6">
        <f>_xll.BDP("!!03GS0N Mtge","MTG_WAL")</f>
        <v>2.0777999999999999</v>
      </c>
      <c r="N6">
        <f>_xll.BDP("!!03GS0N Mtge","MTG_ORIG_WAL")</f>
        <v>2.74</v>
      </c>
    </row>
    <row r="7" spans="1:14" x14ac:dyDescent="0.25">
      <c r="A7" t="str">
        <f>_xll.BDP("!!03F1NH Mtge","ID_CUSIP")</f>
        <v>92943PAA9</v>
      </c>
      <c r="B7" t="str">
        <f>_xll.BDP("!!03F1NH Mtge","SECURITY_NAME")</f>
        <v>WB 2024-HQ A</v>
      </c>
      <c r="C7">
        <f>_xll.BDP("!!03F1NH Mtge","ISSUE_YLD")</f>
        <v>6.2576599999999996</v>
      </c>
      <c r="D7">
        <v>319900000</v>
      </c>
      <c r="E7" t="str">
        <f>_xll.BDP("!!03F1NH Mtge","MATURITY")</f>
        <v>3/15/2040</v>
      </c>
      <c r="F7" t="str">
        <f>_xll.BDP("!!03F1NH Mtge","ISSUE_DT")</f>
        <v>3/1/2024</v>
      </c>
      <c r="G7" t="str">
        <f>_xll.BDP("!!03F1NH Mtge","MTG_TRANCHE_TYP_LONG")</f>
        <v>CSTR,SEQ</v>
      </c>
      <c r="H7" t="str">
        <f>_xll.BDP("!!03F1NH Mtge","MTG_DEAL_TYP")</f>
        <v>CMBS-SASB</v>
      </c>
      <c r="I7" t="str">
        <f>_xll.BDP("!!03F1NH Mtge","CRNCY")</f>
        <v>USD</v>
      </c>
      <c r="J7">
        <v>319900000</v>
      </c>
      <c r="K7">
        <f>_xll.BDP("!!03F1NH Mtge","CPN")</f>
        <v>5.9364999999999997</v>
      </c>
      <c r="L7">
        <f>_xll.BDP("!!03F1NH Mtge","MTG_FACTOR")</f>
        <v>1</v>
      </c>
      <c r="M7">
        <f>_xll.BDP("!!03F1NH Mtge","MTG_WAL")</f>
        <v>2.2305999999999999</v>
      </c>
      <c r="N7">
        <f>_xll.BDP("!!03F1NH Mtge","MTG_ORIG_WAL")</f>
        <v>3.98</v>
      </c>
    </row>
    <row r="8" spans="1:14" x14ac:dyDescent="0.25">
      <c r="A8" t="str">
        <f>_xll.BDP("!!03JHRV Mtge","ID_CUSIP")</f>
        <v>05493XAA8</v>
      </c>
      <c r="B8" t="str">
        <f>_xll.BDP("!!03JHRV Mtge","SECURITY_NAME")</f>
        <v>BAHA 2024-MAR A</v>
      </c>
      <c r="C8">
        <f>_xll.BDP("!!03JHRV Mtge","ISSUE_YLD")</f>
        <v>6.0983299999999998</v>
      </c>
      <c r="D8">
        <v>569000000</v>
      </c>
      <c r="E8" t="str">
        <f>_xll.BDP("!!03JHRV Mtge","MATURITY")</f>
        <v>12/10/2041</v>
      </c>
      <c r="F8" t="str">
        <f>_xll.BDP("!!03JHRV Mtge","ISSUE_DT")</f>
        <v>12/1/2024</v>
      </c>
      <c r="G8" t="str">
        <f>_xll.BDP("!!03JHRV Mtge","MTG_TRANCHE_TYP_LONG")</f>
        <v>AFC</v>
      </c>
      <c r="H8" t="str">
        <f>_xll.BDP("!!03JHRV Mtge","MTG_DEAL_TYP")</f>
        <v>CMBS-SASB</v>
      </c>
      <c r="I8" t="str">
        <f>_xll.BDP("!!03JHRV Mtge","CRNCY")</f>
        <v>USD</v>
      </c>
      <c r="J8">
        <v>569000000</v>
      </c>
      <c r="K8">
        <f>_xll.BDP("!!03JHRV Mtge","CPN")</f>
        <v>5.9716699999999996</v>
      </c>
      <c r="L8">
        <f>_xll.BDP("!!03JHRV Mtge","MTG_FACTOR")</f>
        <v>1</v>
      </c>
      <c r="M8">
        <f>_xll.BDP("!!03JHRV Mtge","MTG_WAL")</f>
        <v>3.9666999999999999</v>
      </c>
      <c r="N8">
        <f>_xll.BDP("!!03JHRV Mtge","MTG_ORIG_WAL")</f>
        <v>5.01</v>
      </c>
    </row>
    <row r="9" spans="1:14" x14ac:dyDescent="0.25">
      <c r="A9" t="str">
        <f>_xll.BDP("!!03CX0T Mtge","ID_CUSIP")</f>
        <v>87332PAA8</v>
      </c>
      <c r="B9" t="str">
        <f>_xll.BDP("!!03CX0T Mtge","SECURITY_NAME")</f>
        <v>TYSN 2023-CRNR A</v>
      </c>
      <c r="C9">
        <f>_xll.BDP("!!03CX0T Mtge","ISSUE_YLD")</f>
        <v>6.5110999999999999</v>
      </c>
      <c r="D9">
        <v>415245000</v>
      </c>
      <c r="E9" t="str">
        <f>_xll.BDP("!!03CX0T Mtge","MATURITY")</f>
        <v>12/10/2033</v>
      </c>
      <c r="F9" t="str">
        <f>_xll.BDP("!!03CX0T Mtge","ISSUE_DT")</f>
        <v>12/1/2023</v>
      </c>
      <c r="G9" t="str">
        <f>_xll.BDP("!!03CX0T Mtge","MTG_TRANCHE_TYP_LONG")</f>
        <v>CSTR,SEQ</v>
      </c>
      <c r="H9" t="str">
        <f>_xll.BDP("!!03CX0T Mtge","MTG_DEAL_TYP")</f>
        <v>CMBS-SASB</v>
      </c>
      <c r="I9" t="str">
        <f>_xll.BDP("!!03CX0T Mtge","CRNCY")</f>
        <v>USD</v>
      </c>
      <c r="J9">
        <v>415245000</v>
      </c>
      <c r="K9">
        <f>_xll.BDP("!!03CX0T Mtge","CPN")</f>
        <v>6.579745</v>
      </c>
      <c r="L9">
        <f>_xll.BDP("!!03CX0T Mtge","MTG_FACTOR")</f>
        <v>1</v>
      </c>
      <c r="M9">
        <f>_xll.BDP("!!03CX0T Mtge","MTG_WAL")</f>
        <v>2.9666999999999999</v>
      </c>
      <c r="N9">
        <f>_xll.BDP("!!03CX0T Mtge","MTG_ORIG_WAL")</f>
        <v>4.99</v>
      </c>
    </row>
    <row r="10" spans="1:14" x14ac:dyDescent="0.25">
      <c r="A10" t="str">
        <f>_xll.BDP("!!03JHRX Mtge","ID_CUSIP")</f>
        <v>05493XAG5</v>
      </c>
      <c r="B10" t="str">
        <f>_xll.BDP("!!03JHRX Mtge","SECURITY_NAME")</f>
        <v>BAHA 2024-MAR C</v>
      </c>
      <c r="C10">
        <f>_xll.BDP("!!03JHRX Mtge","ISSUE_YLD")</f>
        <v>7.6983300000000003</v>
      </c>
      <c r="D10">
        <v>256000000</v>
      </c>
      <c r="E10" t="str">
        <f>_xll.BDP("!!03JHRX Mtge","MATURITY")</f>
        <v>12/10/2041</v>
      </c>
      <c r="F10" t="str">
        <f>_xll.BDP("!!03JHRX Mtge","ISSUE_DT")</f>
        <v>12/1/2024</v>
      </c>
      <c r="G10" t="str">
        <f>_xll.BDP("!!03JHRX Mtge","MTG_TRANCHE_TYP_LONG")</f>
        <v>SUB,CSTR</v>
      </c>
      <c r="H10" t="str">
        <f>_xll.BDP("!!03JHRX Mtge","MTG_DEAL_TYP")</f>
        <v>CMBS-SASB</v>
      </c>
      <c r="I10" t="str">
        <f>_xll.BDP("!!03JHRX Mtge","CRNCY")</f>
        <v>USD</v>
      </c>
      <c r="J10">
        <v>256000000</v>
      </c>
      <c r="K10">
        <f>_xll.BDP("!!03JHRX Mtge","CPN")</f>
        <v>7.51579</v>
      </c>
      <c r="L10">
        <f>_xll.BDP("!!03JHRX Mtge","MTG_FACTOR")</f>
        <v>1</v>
      </c>
      <c r="M10">
        <f>_xll.BDP("!!03JHRX Mtge","MTG_WAL")</f>
        <v>3.9666999999999999</v>
      </c>
      <c r="N10">
        <f>_xll.BDP("!!03JHRX Mtge","MTG_ORIG_WAL")</f>
        <v>5.01</v>
      </c>
    </row>
    <row r="11" spans="1:14" x14ac:dyDescent="0.25">
      <c r="A11" t="str">
        <f>_xll.BDP("!!03GDGK Mtge","ID_CUSIP")</f>
        <v>682939AA1</v>
      </c>
      <c r="B11" t="str">
        <f>_xll.BDP("!!03GDGK Mtge","SECURITY_NAME")</f>
        <v>ONNI 2024-APT A</v>
      </c>
      <c r="C11">
        <f>_xll.BDP("!!03GDGK Mtge","ISSUE_YLD")</f>
        <v>6.1461399999999999</v>
      </c>
      <c r="D11">
        <v>521600000</v>
      </c>
      <c r="E11" t="str">
        <f>_xll.BDP("!!03GDGK Mtge","MATURITY")</f>
        <v>7/15/2039</v>
      </c>
      <c r="F11" t="str">
        <f>_xll.BDP("!!03GDGK Mtge","ISSUE_DT")</f>
        <v>7/1/2024</v>
      </c>
      <c r="G11" t="str">
        <f>_xll.BDP("!!03GDGK Mtge","MTG_TRANCHE_TYP_LONG")</f>
        <v>CSTR,SEQ</v>
      </c>
      <c r="H11" t="str">
        <f>_xll.BDP("!!03GDGK Mtge","MTG_DEAL_TYP")</f>
        <v>CMBS-SASB</v>
      </c>
      <c r="I11" t="str">
        <f>_xll.BDP("!!03GDGK Mtge","CRNCY")</f>
        <v>USD</v>
      </c>
      <c r="J11">
        <v>521600000</v>
      </c>
      <c r="K11">
        <f>_xll.BDP("!!03GDGK Mtge","CPN")</f>
        <v>5.5674299999999999</v>
      </c>
      <c r="L11">
        <f>_xll.BDP("!!03GDGK Mtge","MTG_FACTOR")</f>
        <v>1</v>
      </c>
      <c r="M11">
        <f>_xll.BDP("!!03GDGK Mtge","MTG_WAL")</f>
        <v>3.5638999999999998</v>
      </c>
      <c r="N11">
        <f>_xll.BDP("!!03GDGK Mtge","MTG_ORIG_WAL")</f>
        <v>4.99</v>
      </c>
    </row>
    <row r="12" spans="1:14" x14ac:dyDescent="0.25">
      <c r="A12" t="str">
        <f>_xll.BDP("!!03G63J Mtge","ID_CUSIP")</f>
        <v>00255JAA8</v>
      </c>
      <c r="B12" t="str">
        <f>_xll.BDP("!!03G63J Mtge","SECURITY_NAME")</f>
        <v>AASET 2024-1A A1</v>
      </c>
      <c r="C12">
        <f>_xll.BDP("!!03G63J Mtge","ISSUE_YLD")</f>
        <v>6.3440000000000003</v>
      </c>
      <c r="D12">
        <v>394533123</v>
      </c>
      <c r="E12" t="str">
        <f>_xll.BDP("!!03G63J Mtge","MATURITY")</f>
        <v>5/16/2049</v>
      </c>
      <c r="F12" t="str">
        <f>_xll.BDP("!!03G63J Mtge","ISSUE_DT")</f>
        <v>6/17/2024</v>
      </c>
      <c r="G12" t="str">
        <f>_xll.BDP("!!03G63J Mtge","MTG_TRANCHE_TYP_LONG")</f>
        <v>SEQ</v>
      </c>
      <c r="H12" t="str">
        <f>_xll.BDP("!!03G63J Mtge","MTG_DEAL_TYP")</f>
        <v>PLANES</v>
      </c>
      <c r="I12" t="str">
        <f>_xll.BDP("!!03G63J Mtge","CRNCY")</f>
        <v>USD</v>
      </c>
      <c r="J12">
        <v>428051000</v>
      </c>
      <c r="K12">
        <f>_xll.BDP("!!03G63J Mtge","CPN")</f>
        <v>6.2610000000000001</v>
      </c>
      <c r="L12">
        <f>_xll.BDP("!!03G63J Mtge","MTG_FACTOR")</f>
        <v>0.92169653380000005</v>
      </c>
      <c r="M12">
        <f>_xll.BDP("!!03G63J Mtge","MTG_WAL")</f>
        <v>4.4157999999999999</v>
      </c>
      <c r="N12">
        <f>_xll.BDP("!!03G63J Mtge","MTG_ORIG_WAL")</f>
        <v>5.48</v>
      </c>
    </row>
    <row r="13" spans="1:14" x14ac:dyDescent="0.25">
      <c r="A13" t="str">
        <f>_xll.BDP("!!03CKGH Mtge","ID_CUSIP")</f>
        <v>05610QAC7</v>
      </c>
      <c r="B13" t="str">
        <f>_xll.BDP("!!03CKGH Mtge","SECURITY_NAME")</f>
        <v>BMO 2023-5C2 A3</v>
      </c>
      <c r="C13">
        <f>_xll.BDP("!!03CKGH Mtge","ISSUE_YLD")</f>
        <v>6.4649799999999997</v>
      </c>
      <c r="D13">
        <v>426557000</v>
      </c>
      <c r="E13" t="str">
        <f>_xll.BDP("!!03CKGH Mtge","MATURITY")</f>
        <v>11/15/2056</v>
      </c>
      <c r="F13" t="str">
        <f>_xll.BDP("!!03CKGH Mtge","ISSUE_DT")</f>
        <v>11/1/2023</v>
      </c>
      <c r="G13" t="str">
        <f>_xll.BDP("!!03CKGH Mtge","MTG_TRANCHE_TYP_LONG")</f>
        <v>CSTR,SEQ</v>
      </c>
      <c r="H13" t="str">
        <f>_xll.BDP("!!03CKGH Mtge","MTG_DEAL_TYP")</f>
        <v>CMBS-CONDUIT</v>
      </c>
      <c r="I13" t="str">
        <f>_xll.BDP("!!03CKGH Mtge","CRNCY")</f>
        <v>USD</v>
      </c>
      <c r="J13">
        <v>426557000</v>
      </c>
      <c r="K13">
        <f>_xll.BDP("!!03CKGH Mtge","CPN")</f>
        <v>7.054818</v>
      </c>
      <c r="L13">
        <f>_xll.BDP("!!03CKGH Mtge","MTG_FACTOR")</f>
        <v>1</v>
      </c>
      <c r="M13">
        <f>_xll.BDP("!!03CKGH Mtge","MTG_WAL")</f>
        <v>2.7827999999999999</v>
      </c>
      <c r="N13">
        <f>_xll.BDP("!!03CKGH Mtge","MTG_ORIG_WAL")</f>
        <v>4.9000000000000004</v>
      </c>
    </row>
    <row r="14" spans="1:14" x14ac:dyDescent="0.25">
      <c r="A14" t="str">
        <f>_xll.BDP("!!03FZMZ Mtge","ID_CUSIP")</f>
        <v>05612TAA3</v>
      </c>
      <c r="B14" t="str">
        <f>_xll.BDP("!!03FZMZ Mtge","SECURITY_NAME")</f>
        <v>BX 2024-VLT4 A</v>
      </c>
      <c r="C14">
        <f>_xll.BDP("!!03FZMZ Mtge","ISSUE_YLD")</f>
        <v>6.9688100000000004</v>
      </c>
      <c r="D14">
        <v>604675000</v>
      </c>
      <c r="E14" t="str">
        <f>_xll.BDP("!!03FZMZ Mtge","MATURITY")</f>
        <v>6/15/2041</v>
      </c>
      <c r="F14" t="str">
        <f>_xll.BDP("!!03FZMZ Mtge","ISSUE_DT")</f>
        <v>6/18/2024</v>
      </c>
      <c r="G14" t="str">
        <f>_xll.BDP("!!03FZMZ Mtge","MTG_TRANCHE_TYP_LONG")</f>
        <v>FLT,SEQ</v>
      </c>
      <c r="H14" t="str">
        <f>_xll.BDP("!!03FZMZ Mtge","MTG_DEAL_TYP")</f>
        <v>CMBS-SASB</v>
      </c>
      <c r="I14" t="str">
        <f>_xll.BDP("!!03FZMZ Mtge","CRNCY")</f>
        <v>USD</v>
      </c>
      <c r="J14">
        <v>604675000</v>
      </c>
      <c r="K14">
        <f>_xll.BDP("!!03FZMZ Mtge","CPN")</f>
        <v>5.2415250000000002</v>
      </c>
      <c r="L14">
        <f>_xll.BDP("!!03FZMZ Mtge","MTG_FACTOR")</f>
        <v>1</v>
      </c>
      <c r="M14">
        <f>_xll.BDP("!!03FZMZ Mtge","MTG_WAL")</f>
        <v>0.48060000000000003</v>
      </c>
      <c r="N14">
        <f>_xll.BDP("!!03FZMZ Mtge","MTG_ORIG_WAL")</f>
        <v>4.9944444444444454</v>
      </c>
    </row>
    <row r="15" spans="1:14" x14ac:dyDescent="0.25">
      <c r="A15" t="str">
        <f>_xll.BDP("!!03KCXK Mtge","ID_CUSIP")</f>
        <v>00258PAA1</v>
      </c>
      <c r="B15" t="str">
        <f>_xll.BDP("!!03KCXK Mtge","SECURITY_NAME")</f>
        <v>AASET 2025-1A A</v>
      </c>
      <c r="C15">
        <f>_xll.BDP("!!03KCXK Mtge","ISSUE_YLD")</f>
        <v>6.0170000000000003</v>
      </c>
      <c r="D15">
        <v>435560045.12</v>
      </c>
      <c r="E15" t="str">
        <f>_xll.BDP("!!03KCXK Mtge","MATURITY")</f>
        <v>2/16/2050</v>
      </c>
      <c r="F15" t="str">
        <f>_xll.BDP("!!03KCXK Mtge","ISSUE_DT")</f>
        <v>2/7/2025</v>
      </c>
      <c r="G15" t="str">
        <f>_xll.BDP("!!03KCXK Mtge","MTG_TRANCHE_TYP_LONG")</f>
        <v>SEQ</v>
      </c>
      <c r="H15" t="str">
        <f>_xll.BDP("!!03KCXK Mtge","MTG_DEAL_TYP")</f>
        <v>PLANES</v>
      </c>
      <c r="I15" t="str">
        <f>_xll.BDP("!!03KCXK Mtge","CRNCY")</f>
        <v>USD</v>
      </c>
      <c r="J15">
        <v>464453000</v>
      </c>
      <c r="K15">
        <f>_xll.BDP("!!03KCXK Mtge","CPN")</f>
        <v>5.9429999999999996</v>
      </c>
      <c r="L15">
        <f>_xll.BDP("!!03KCXK Mtge","MTG_FACTOR")</f>
        <v>0.93779143450000002</v>
      </c>
      <c r="M15">
        <f>_xll.BDP("!!03KCXK Mtge","MTG_WAL")</f>
        <v>4.1342999999999996</v>
      </c>
      <c r="N15">
        <f>_xll.BDP("!!03KCXK Mtge","MTG_ORIG_WAL")</f>
        <v>4.71</v>
      </c>
    </row>
    <row r="16" spans="1:14" x14ac:dyDescent="0.25">
      <c r="A16" t="str">
        <f>_xll.BDP("!!03HSBN Mtge","ID_CUSIP")</f>
        <v>00038QAA6</v>
      </c>
      <c r="B16" t="str">
        <f>_xll.BDP("!!03HSBN Mtge","SECURITY_NAME")</f>
        <v>AASET 2024-2A A</v>
      </c>
      <c r="C16">
        <f>_xll.BDP("!!03HSBN Mtge","ISSUE_YLD")</f>
        <v>6.0039999999999996</v>
      </c>
      <c r="D16">
        <v>397557413.35000002</v>
      </c>
      <c r="E16" t="str">
        <f>_xll.BDP("!!03HSBN Mtge","MATURITY")</f>
        <v>9/16/2049</v>
      </c>
      <c r="F16" t="str">
        <f>_xll.BDP("!!03HSBN Mtge","ISSUE_DT")</f>
        <v>10/22/2024</v>
      </c>
      <c r="G16" t="str">
        <f>_xll.BDP("!!03HSBN Mtge","MTG_TRANCHE_TYP_LONG")</f>
        <v>SEQ</v>
      </c>
      <c r="H16" t="str">
        <f>_xll.BDP("!!03HSBN Mtge","MTG_DEAL_TYP")</f>
        <v>PLANES</v>
      </c>
      <c r="I16" t="str">
        <f>_xll.BDP("!!03HSBN Mtge","CRNCY")</f>
        <v>USD</v>
      </c>
      <c r="J16">
        <v>436062000</v>
      </c>
      <c r="K16">
        <f>_xll.BDP("!!03HSBN Mtge","CPN")</f>
        <v>5.93</v>
      </c>
      <c r="L16">
        <f>_xll.BDP("!!03HSBN Mtge","MTG_FACTOR")</f>
        <v>0.91169928440000003</v>
      </c>
      <c r="M16">
        <f>_xll.BDP("!!03HSBN Mtge","MTG_WAL")</f>
        <v>4.1139999999999999</v>
      </c>
      <c r="N16">
        <f>_xll.BDP("!!03HSBN Mtge","MTG_ORIG_WAL")</f>
        <v>4.8600000000000003</v>
      </c>
    </row>
    <row r="17" spans="1:14" x14ac:dyDescent="0.25">
      <c r="A17" t="str">
        <f>_xll.BDP("!!03CJW1 Mtge","ID_CUSIP")</f>
        <v>96328GBG1</v>
      </c>
      <c r="B17" t="str">
        <f>_xll.BDP("!!03CJW1 Mtge","SECURITY_NAME")</f>
        <v>WFLF 2023-2A A</v>
      </c>
      <c r="C17">
        <f>_xll.BDP("!!03CJW1 Mtge","ISSUE_YLD")</f>
        <v>6.5549999999999997</v>
      </c>
      <c r="D17">
        <v>274604709.22000003</v>
      </c>
      <c r="E17" t="str">
        <f>_xll.BDP("!!03CJW1 Mtge","MATURITY")</f>
        <v>8/18/2038</v>
      </c>
      <c r="F17" t="str">
        <f>_xll.BDP("!!03CJW1 Mtge","ISSUE_DT")</f>
        <v>10/27/2023</v>
      </c>
      <c r="G17" t="str">
        <f>_xll.BDP("!!03CJW1 Mtge","MTG_TRANCHE_TYP_LONG")</f>
        <v>SEQ</v>
      </c>
      <c r="H17" t="str">
        <f>_xll.BDP("!!03CJW1 Mtge","MTG_DEAL_TYP")</f>
        <v>AUTOS</v>
      </c>
      <c r="I17" t="str">
        <f>_xll.BDP("!!03CJW1 Mtge","CRNCY")</f>
        <v>USD</v>
      </c>
      <c r="J17">
        <v>677400000</v>
      </c>
      <c r="K17">
        <f>_xll.BDP("!!03CJW1 Mtge","CPN")</f>
        <v>6.46</v>
      </c>
      <c r="L17">
        <f>_xll.BDP("!!03CJW1 Mtge","MTG_FACTOR")</f>
        <v>0.40538043880000002</v>
      </c>
      <c r="M17">
        <f>_xll.BDP("!!03CJW1 Mtge","MTG_WAL")</f>
        <v>0.56020000000000003</v>
      </c>
      <c r="N17">
        <f>_xll.BDP("!!03CJW1 Mtge","MTG_ORIG_WAL")</f>
        <v>1.97</v>
      </c>
    </row>
    <row r="18" spans="1:14" x14ac:dyDescent="0.25">
      <c r="A18" t="str">
        <f>_xll.BDP("!!03D0DG Mtge","ID_CUSIP")</f>
        <v>65486XAA1</v>
      </c>
      <c r="B18" t="str">
        <f>_xll.BDP("!!03D0DG Mtge","SECURITY_NAME")</f>
        <v>NJ 2023-GSP A</v>
      </c>
      <c r="C18">
        <f>_xll.BDP("!!03D0DG Mtge","ISSUE_YLD")</f>
        <v>6.3365600000000004</v>
      </c>
      <c r="D18">
        <v>403520000</v>
      </c>
      <c r="E18" t="str">
        <f>_xll.BDP("!!03D0DG Mtge","MATURITY")</f>
        <v>1/6/2029</v>
      </c>
      <c r="F18" t="str">
        <f>_xll.BDP("!!03D0DG Mtge","ISSUE_DT")</f>
        <v>12/1/2023</v>
      </c>
      <c r="G18" t="str">
        <f>_xll.BDP("!!03D0DG Mtge","MTG_TRANCHE_TYP_LONG")</f>
        <v>SEQ</v>
      </c>
      <c r="H18" t="str">
        <f>_xll.BDP("!!03D0DG Mtge","MTG_DEAL_TYP")</f>
        <v>CMBS-SASB</v>
      </c>
      <c r="I18" t="str">
        <f>_xll.BDP("!!03D0DG Mtge","CRNCY")</f>
        <v>USD</v>
      </c>
      <c r="J18">
        <v>403520000</v>
      </c>
      <c r="K18">
        <f>_xll.BDP("!!03D0DG Mtge","CPN")</f>
        <v>6.4807579999999998</v>
      </c>
      <c r="L18">
        <f>_xll.BDP("!!03D0DG Mtge","MTG_FACTOR")</f>
        <v>1</v>
      </c>
      <c r="M18">
        <f>_xll.BDP("!!03D0DG Mtge","MTG_WAL")</f>
        <v>3.05</v>
      </c>
      <c r="N18" t="str">
        <f>_xll.BDP("!!03D0DG Mtge","MTG_ORIG_WAL")</f>
        <v>#N/A N/A</v>
      </c>
    </row>
    <row r="19" spans="1:14" x14ac:dyDescent="0.25">
      <c r="A19" t="str">
        <f>_xll.BDP("!!03K7MM Mtge","ID_CUSIP")</f>
        <v>44855PAG3</v>
      </c>
      <c r="B19" t="str">
        <f>_xll.BDP("!!03K7MM Mtge","SECURITY_NAME")</f>
        <v>HY 2025-SPRL D</v>
      </c>
      <c r="C19">
        <f>_xll.BDP("!!03K7MM Mtge","ISSUE_YLD")</f>
        <v>6.4703999999999997</v>
      </c>
      <c r="D19">
        <v>302765000</v>
      </c>
      <c r="E19" t="str">
        <f>_xll.BDP("!!03K7MM Mtge","MATURITY")</f>
        <v>1/13/2040</v>
      </c>
      <c r="F19" t="str">
        <f>_xll.BDP("!!03K7MM Mtge","ISSUE_DT")</f>
        <v>1/1/2025</v>
      </c>
      <c r="G19" t="str">
        <f>_xll.BDP("!!03K7MM Mtge","MTG_TRANCHE_TYP_LONG")</f>
        <v>SUB,CSTR</v>
      </c>
      <c r="H19" t="str">
        <f>_xll.BDP("!!03K7MM Mtge","MTG_DEAL_TYP")</f>
        <v>CMBS-SASB</v>
      </c>
      <c r="I19" t="str">
        <f>_xll.BDP("!!03K7MM Mtge","CRNCY")</f>
        <v>USD</v>
      </c>
      <c r="J19">
        <v>302765000</v>
      </c>
      <c r="K19">
        <f>_xll.BDP("!!03K7MM Mtge","CPN")</f>
        <v>6.3395999999999999</v>
      </c>
      <c r="L19">
        <f>_xll.BDP("!!03K7MM Mtge","MTG_FACTOR")</f>
        <v>1</v>
      </c>
      <c r="M19">
        <f>_xll.BDP("!!03K7MM Mtge","MTG_WAL")</f>
        <v>4.0583</v>
      </c>
      <c r="N19">
        <f>_xll.BDP("!!03K7MM Mtge","MTG_ORIG_WAL")</f>
        <v>4.97</v>
      </c>
    </row>
    <row r="20" spans="1:14" x14ac:dyDescent="0.25">
      <c r="A20" t="str">
        <f>_xll.BDP("!!03C7L6 Mtge","ID_CUSIP")</f>
        <v>06211EAF8</v>
      </c>
      <c r="B20" t="str">
        <f>_xll.BDP("!!03C7L6 Mtge","SECURITY_NAME")</f>
        <v>BANK5 2023-5YR3 A3</v>
      </c>
      <c r="C20">
        <f>_xll.BDP("!!03C7L6 Mtge","ISSUE_YLD")</f>
        <v>6.0246300000000002</v>
      </c>
      <c r="D20">
        <v>333634000</v>
      </c>
      <c r="E20" t="str">
        <f>_xll.BDP("!!03C7L6 Mtge","MATURITY")</f>
        <v>9/15/2056</v>
      </c>
      <c r="F20" t="str">
        <f>_xll.BDP("!!03C7L6 Mtge","ISSUE_DT")</f>
        <v>9/1/2023</v>
      </c>
      <c r="G20" t="str">
        <f>_xll.BDP("!!03C7L6 Mtge","MTG_TRANCHE_TYP_LONG")</f>
        <v>AFC,SEQ</v>
      </c>
      <c r="H20" t="str">
        <f>_xll.BDP("!!03C7L6 Mtge","MTG_DEAL_TYP")</f>
        <v>CMBS-CONDUIT</v>
      </c>
      <c r="I20" t="str">
        <f>_xll.BDP("!!03C7L6 Mtge","CRNCY")</f>
        <v>USD</v>
      </c>
      <c r="J20">
        <v>333634000</v>
      </c>
      <c r="K20">
        <f>_xll.BDP("!!03C7L6 Mtge","CPN")</f>
        <v>6.7240000000000002</v>
      </c>
      <c r="L20">
        <f>_xll.BDP("!!03C7L6 Mtge","MTG_FACTOR")</f>
        <v>1</v>
      </c>
      <c r="M20">
        <f>_xll.BDP("!!03C7L6 Mtge","MTG_WAL")</f>
        <v>2.6305999999999998</v>
      </c>
      <c r="N20">
        <f>_xll.BDP("!!03C7L6 Mtge","MTG_ORIG_WAL")</f>
        <v>4.8508699999999996</v>
      </c>
    </row>
    <row r="21" spans="1:14" x14ac:dyDescent="0.25">
      <c r="A21" t="str">
        <f>_xll.BDP("!!03M6BR Mtge","ID_CUSIP")</f>
        <v>58768YAD7</v>
      </c>
      <c r="B21" t="str">
        <f>_xll.BDP("!!03M6BR Mtge","SECURITY_NAME")</f>
        <v>MBALT 2025-A A3</v>
      </c>
      <c r="C21">
        <f>_xll.BDP("!!03M6BR Mtge","ISSUE_YLD")</f>
        <v>99.987809999999996</v>
      </c>
      <c r="D21">
        <v>490320000</v>
      </c>
      <c r="E21" t="str">
        <f>_xll.BDP("!!03M6BR Mtge","MATURITY")</f>
        <v>4/16/2029</v>
      </c>
      <c r="F21" t="str">
        <f>_xll.BDP("!!03M6BR Mtge","ISSUE_DT")</f>
        <v>5/21/2025</v>
      </c>
      <c r="G21" t="str">
        <f>_xll.BDP("!!03M6BR Mtge","MTG_TRANCHE_TYP_LONG")</f>
        <v>SEQ</v>
      </c>
      <c r="H21" t="str">
        <f>_xll.BDP("!!03M6BR Mtge","MTG_DEAL_TYP")</f>
        <v>AUTOS</v>
      </c>
      <c r="I21" t="str">
        <f>_xll.BDP("!!03M6BR Mtge","CRNCY")</f>
        <v>USD</v>
      </c>
      <c r="J21">
        <v>490320000</v>
      </c>
      <c r="K21">
        <f>_xll.BDP("!!03M6BR Mtge","CPN")</f>
        <v>4.6100000000000003</v>
      </c>
      <c r="L21">
        <f>_xll.BDP("!!03M6BR Mtge","MTG_FACTOR")</f>
        <v>1</v>
      </c>
      <c r="M21">
        <f>_xll.BDP("!!03M6BR Mtge","MTG_WAL")</f>
        <v>1.9926999999999999</v>
      </c>
      <c r="N21">
        <f>_xll.BDP("!!03M6BR Mtge","MTG_ORIG_WAL")</f>
        <v>2.42</v>
      </c>
    </row>
    <row r="22" spans="1:14" x14ac:dyDescent="0.25">
      <c r="A22" t="str">
        <f>_xll.BDP("!!03BY5K Mtge","ID_CUSIP")</f>
        <v>24023AAA8</v>
      </c>
      <c r="B22" t="str">
        <f>_xll.BDP("!!03BY5K Mtge","SECURITY_NAME")</f>
        <v>DC 2023-DC A</v>
      </c>
      <c r="C22">
        <f>_xll.BDP("!!03BY5K Mtge","ISSUE_YLD")</f>
        <v>6.3602999999999996</v>
      </c>
      <c r="D22">
        <v>564300000</v>
      </c>
      <c r="E22" t="str">
        <f>_xll.BDP("!!03BY5K Mtge","MATURITY")</f>
        <v>9/12/2040</v>
      </c>
      <c r="F22" t="str">
        <f>_xll.BDP("!!03BY5K Mtge","ISSUE_DT")</f>
        <v>8/1/2023</v>
      </c>
      <c r="G22" t="str">
        <f>_xll.BDP("!!03BY5K Mtge","MTG_TRANCHE_TYP_LONG")</f>
        <v>SEQ</v>
      </c>
      <c r="H22" t="str">
        <f>_xll.BDP("!!03BY5K Mtge","MTG_DEAL_TYP")</f>
        <v>CMBS-SASB</v>
      </c>
      <c r="I22" t="str">
        <f>_xll.BDP("!!03BY5K Mtge","CRNCY")</f>
        <v>USD</v>
      </c>
      <c r="J22">
        <v>564300000</v>
      </c>
      <c r="K22">
        <f>_xll.BDP("!!03BY5K Mtge","CPN")</f>
        <v>6.3143000000000002</v>
      </c>
      <c r="L22">
        <f>_xll.BDP("!!03BY5K Mtge","MTG_FACTOR")</f>
        <v>1</v>
      </c>
      <c r="M22">
        <f>_xll.BDP("!!03BY5K Mtge","MTG_WAL")</f>
        <v>2.7166999999999999</v>
      </c>
      <c r="N22">
        <f>_xll.BDP("!!03BY5K Mtge","MTG_ORIG_WAL")</f>
        <v>5.03</v>
      </c>
    </row>
    <row r="23" spans="1:14" x14ac:dyDescent="0.25">
      <c r="A23" t="str">
        <f>_xll.BDP("!!03FFQX Mtge","ID_CUSIP")</f>
        <v>12327CAA2</v>
      </c>
      <c r="B23" t="str">
        <f>_xll.BDP("!!03FFQX Mtge","SECURITY_NAME")</f>
        <v>BJETS 2024-1A A</v>
      </c>
      <c r="C23">
        <f>_xll.BDP("!!03FFQX Mtge","ISSUE_YLD")</f>
        <v>6.2779999999999996</v>
      </c>
      <c r="D23">
        <v>301712105.32999998</v>
      </c>
      <c r="E23" t="str">
        <f>_xll.BDP("!!03FFQX Mtge","MATURITY")</f>
        <v>5/15/2039</v>
      </c>
      <c r="F23" t="str">
        <f>_xll.BDP("!!03FFQX Mtge","ISSUE_DT")</f>
        <v>4/15/2024</v>
      </c>
      <c r="G23" t="str">
        <f>_xll.BDP("!!03FFQX Mtge","MTG_TRANCHE_TYP_LONG")</f>
        <v>SEQ</v>
      </c>
      <c r="H23" t="str">
        <f>_xll.BDP("!!03FFQX Mtge","MTG_DEAL_TYP")</f>
        <v>PLANES</v>
      </c>
      <c r="I23" t="str">
        <f>_xll.BDP("!!03FFQX Mtge","CRNCY")</f>
        <v>USD</v>
      </c>
      <c r="J23">
        <v>459850000</v>
      </c>
      <c r="K23">
        <f>_xll.BDP("!!03FFQX Mtge","CPN")</f>
        <v>6.1970000000000001</v>
      </c>
      <c r="L23">
        <f>_xll.BDP("!!03FFQX Mtge","MTG_FACTOR")</f>
        <v>0.65610983</v>
      </c>
      <c r="M23">
        <f>_xll.BDP("!!03FFQX Mtge","MTG_WAL")</f>
        <v>3.2768000000000002</v>
      </c>
      <c r="N23">
        <f>_xll.BDP("!!03FFQX Mtge","MTG_ORIG_WAL")</f>
        <v>4.33</v>
      </c>
    </row>
    <row r="24" spans="1:14" x14ac:dyDescent="0.25">
      <c r="A24" t="str">
        <f>_xll.BDP("!!03J2XV Mtge","ID_CUSIP")</f>
        <v>74970WAG5</v>
      </c>
      <c r="B24" t="str">
        <f>_xll.BDP("!!03J2XV Mtge","SECURITY_NAME")</f>
        <v>ROCC 2024-CNTR D</v>
      </c>
      <c r="C24">
        <f>_xll.BDP("!!03J2XV Mtge","ISSUE_YLD")</f>
        <v>7.1574499999999999</v>
      </c>
      <c r="D24">
        <v>337060000</v>
      </c>
      <c r="E24" t="str">
        <f>_xll.BDP("!!03J2XV Mtge","MATURITY")</f>
        <v>11/13/2041</v>
      </c>
      <c r="F24" t="str">
        <f>_xll.BDP("!!03J2XV Mtge","ISSUE_DT")</f>
        <v>10/1/2024</v>
      </c>
      <c r="G24" t="str">
        <f>_xll.BDP("!!03J2XV Mtge","MTG_TRANCHE_TYP_LONG")</f>
        <v>SUB</v>
      </c>
      <c r="H24" t="str">
        <f>_xll.BDP("!!03J2XV Mtge","MTG_DEAL_TYP")</f>
        <v>CMBS-SASB</v>
      </c>
      <c r="I24" t="str">
        <f>_xll.BDP("!!03J2XV Mtge","CRNCY")</f>
        <v>USD</v>
      </c>
      <c r="J24">
        <v>337060000</v>
      </c>
      <c r="K24">
        <f>_xll.BDP("!!03J2XV Mtge","CPN")</f>
        <v>7.10914</v>
      </c>
      <c r="L24">
        <f>_xll.BDP("!!03J2XV Mtge","MTG_FACTOR")</f>
        <v>1</v>
      </c>
      <c r="M24">
        <f>_xll.BDP("!!03J2XV Mtge","MTG_WAL")</f>
        <v>3.8917000000000002</v>
      </c>
      <c r="N24">
        <f>_xll.BDP("!!03J2XV Mtge","MTG_ORIG_WAL")</f>
        <v>5.0361099999999999</v>
      </c>
    </row>
    <row r="25" spans="1:14" x14ac:dyDescent="0.25">
      <c r="A25" t="str">
        <f>_xll.BDP("!!03J2XT Mtge","ID_CUSIP")</f>
        <v>74970WAE0</v>
      </c>
      <c r="B25" t="str">
        <f>_xll.BDP("!!03J2XT Mtge","SECURITY_NAME")</f>
        <v>ROCC 2024-CNTR C</v>
      </c>
      <c r="C25">
        <f>_xll.BDP("!!03J2XT Mtge","ISSUE_YLD")</f>
        <v>6.5074500000000004</v>
      </c>
      <c r="D25">
        <v>294310000</v>
      </c>
      <c r="E25" t="str">
        <f>_xll.BDP("!!03J2XT Mtge","MATURITY")</f>
        <v>11/13/2041</v>
      </c>
      <c r="F25" t="str">
        <f>_xll.BDP("!!03J2XT Mtge","ISSUE_DT")</f>
        <v>10/1/2024</v>
      </c>
      <c r="G25" t="str">
        <f>_xll.BDP("!!03J2XT Mtge","MTG_TRANCHE_TYP_LONG")</f>
        <v>SUB</v>
      </c>
      <c r="H25" t="str">
        <f>_xll.BDP("!!03J2XT Mtge","MTG_DEAL_TYP")</f>
        <v>CMBS-SASB</v>
      </c>
      <c r="I25" t="str">
        <f>_xll.BDP("!!03J2XT Mtge","CRNCY")</f>
        <v>USD</v>
      </c>
      <c r="J25">
        <v>294310000</v>
      </c>
      <c r="K25">
        <f>_xll.BDP("!!03J2XT Mtge","CPN")</f>
        <v>6.4712699999999996</v>
      </c>
      <c r="L25">
        <f>_xll.BDP("!!03J2XT Mtge","MTG_FACTOR")</f>
        <v>1</v>
      </c>
      <c r="M25">
        <f>_xll.BDP("!!03J2XT Mtge","MTG_WAL")</f>
        <v>3.8917000000000002</v>
      </c>
      <c r="N25">
        <f>_xll.BDP("!!03J2XT Mtge","MTG_ORIG_WAL")</f>
        <v>5.0361099999999999</v>
      </c>
    </row>
    <row r="26" spans="1:14" x14ac:dyDescent="0.25">
      <c r="A26" t="str">
        <f>_xll.BDP("!!036SGF Mtge","ID_CUSIP")</f>
        <v>00255EAA9</v>
      </c>
      <c r="B26" t="str">
        <f>_xll.BDP("!!036SGF Mtge","SECURITY_NAME")</f>
        <v>AASET 2022-1A A</v>
      </c>
      <c r="C26">
        <f>_xll.BDP("!!036SGF Mtge","ISSUE_YLD")</f>
        <v>6.5579999999999998</v>
      </c>
      <c r="D26">
        <v>289983662.70999998</v>
      </c>
      <c r="E26" t="str">
        <f>_xll.BDP("!!036SGF Mtge","MATURITY")</f>
        <v>5/16/2047</v>
      </c>
      <c r="F26" t="str">
        <f>_xll.BDP("!!036SGF Mtge","ISSUE_DT")</f>
        <v>6/24/2022</v>
      </c>
      <c r="G26" t="str">
        <f>_xll.BDP("!!036SGF Mtge","MTG_TRANCHE_TYP_LONG")</f>
        <v>SEQ</v>
      </c>
      <c r="H26" t="str">
        <f>_xll.BDP("!!036SGF Mtge","MTG_DEAL_TYP")</f>
        <v>PLANES</v>
      </c>
      <c r="I26" t="str">
        <f>_xll.BDP("!!036SGF Mtge","CRNCY")</f>
        <v>USD</v>
      </c>
      <c r="J26">
        <v>522464000</v>
      </c>
      <c r="K26">
        <f>_xll.BDP("!!036SGF Mtge","CPN")</f>
        <v>6</v>
      </c>
      <c r="L26">
        <f>_xll.BDP("!!036SGF Mtge","MTG_FACTOR")</f>
        <v>0.55503089729999999</v>
      </c>
      <c r="M26" t="str">
        <f>_xll.BDP("!!036SGF Mtge","MTG_WAL")</f>
        <v>#N/A N/A</v>
      </c>
      <c r="N26">
        <f>_xll.BDP("!!036SGF Mtge","MTG_ORIG_WAL")</f>
        <v>4.6100000000000003</v>
      </c>
    </row>
    <row r="27" spans="1:14" x14ac:dyDescent="0.25">
      <c r="A27" t="str">
        <f>_xll.BDP("!!03CFSX Mtge","ID_CUSIP")</f>
        <v>05610WAA8</v>
      </c>
      <c r="B27" t="str">
        <f>_xll.BDP("!!03CFSX Mtge","SECURITY_NAME")</f>
        <v>BPR 2023-BRK2 A</v>
      </c>
      <c r="C27">
        <f>_xll.BDP("!!03CFSX Mtge","ISSUE_YLD")</f>
        <v>7.0967000000000002</v>
      </c>
      <c r="D27">
        <v>543001000</v>
      </c>
      <c r="E27" t="str">
        <f>_xll.BDP("!!03CFSX Mtge","MATURITY")</f>
        <v>10/5/2038</v>
      </c>
      <c r="F27" t="str">
        <f>_xll.BDP("!!03CFSX Mtge","ISSUE_DT")</f>
        <v>10/1/2023</v>
      </c>
      <c r="G27" t="str">
        <f>_xll.BDP("!!03CFSX Mtge","MTG_TRANCHE_TYP_LONG")</f>
        <v>SEQ</v>
      </c>
      <c r="H27" t="str">
        <f>_xll.BDP("!!03CFSX Mtge","MTG_DEAL_TYP")</f>
        <v>CMBS-SASB</v>
      </c>
      <c r="I27" t="str">
        <f>_xll.BDP("!!03CFSX Mtge","CRNCY")</f>
        <v>USD</v>
      </c>
      <c r="J27">
        <v>543001000</v>
      </c>
      <c r="K27">
        <f>_xll.BDP("!!03CFSX Mtge","CPN")</f>
        <v>6.899</v>
      </c>
      <c r="L27">
        <f>_xll.BDP("!!03CFSX Mtge","MTG_FACTOR")</f>
        <v>1</v>
      </c>
      <c r="M27">
        <f>_xll.BDP("!!03CFSX Mtge","MTG_WAL")</f>
        <v>2.8694000000000002</v>
      </c>
      <c r="N27">
        <f>_xll.BDP("!!03CFSX Mtge","MTG_ORIG_WAL")</f>
        <v>5.07</v>
      </c>
    </row>
    <row r="28" spans="1:14" x14ac:dyDescent="0.25">
      <c r="A28" t="str">
        <f>_xll.BDP("!!03CK19 Mtge","ID_CUSIP")</f>
        <v>05554FAD7</v>
      </c>
      <c r="B28" t="str">
        <f>_xll.BDP("!!03CK19 Mtge","SECURITY_NAME")</f>
        <v>BBCMS 2023-C22 A5</v>
      </c>
      <c r="C28">
        <f>_xll.BDP("!!03CK19 Mtge","ISSUE_YLD")</f>
        <v>6.4427599999999998</v>
      </c>
      <c r="D28">
        <v>356170000</v>
      </c>
      <c r="E28" t="str">
        <f>_xll.BDP("!!03CK19 Mtge","MATURITY")</f>
        <v>11/15/2056</v>
      </c>
      <c r="F28" t="str">
        <f>_xll.BDP("!!03CK19 Mtge","ISSUE_DT")</f>
        <v>11/1/2023</v>
      </c>
      <c r="G28" t="str">
        <f>_xll.BDP("!!03CK19 Mtge","MTG_TRANCHE_TYP_LONG")</f>
        <v>AFC,SEQ</v>
      </c>
      <c r="H28" t="str">
        <f>_xll.BDP("!!03CK19 Mtge","MTG_DEAL_TYP")</f>
        <v>CMBS-CONDUIT</v>
      </c>
      <c r="I28" t="str">
        <f>_xll.BDP("!!03CK19 Mtge","CRNCY")</f>
        <v>USD</v>
      </c>
      <c r="J28">
        <v>356170000</v>
      </c>
      <c r="K28">
        <f>_xll.BDP("!!03CK19 Mtge","CPN")</f>
        <v>6.8040000000000003</v>
      </c>
      <c r="L28">
        <f>_xll.BDP("!!03CK19 Mtge","MTG_FACTOR")</f>
        <v>1</v>
      </c>
      <c r="M28">
        <f>_xll.BDP("!!03CK19 Mtge","MTG_WAL")</f>
        <v>7.7405999999999997</v>
      </c>
      <c r="N28">
        <f>_xll.BDP("!!03CK19 Mtge","MTG_ORIG_WAL")</f>
        <v>9.8605347793663061</v>
      </c>
    </row>
    <row r="29" spans="1:14" x14ac:dyDescent="0.25">
      <c r="A29" t="str">
        <f>_xll.BDP("!!03CJJ9 Mtge","ID_CUSIP")</f>
        <v>29374LAB6</v>
      </c>
      <c r="B29" t="str">
        <f>_xll.BDP("!!03CJJ9 Mtge","SECURITY_NAME")</f>
        <v>EFF 2023-3 A2</v>
      </c>
      <c r="C29">
        <f>_xll.BDP("!!03CJJ9 Mtge","ISSUE_YLD")</f>
        <v>6.4870000000000001</v>
      </c>
      <c r="D29">
        <v>428411025.01999998</v>
      </c>
      <c r="E29" t="str">
        <f>_xll.BDP("!!03CJJ9 Mtge","MATURITY")</f>
        <v>3/20/2030</v>
      </c>
      <c r="F29" t="str">
        <f>_xll.BDP("!!03CJJ9 Mtge","ISSUE_DT")</f>
        <v>10/25/2023</v>
      </c>
      <c r="G29" t="str">
        <f>_xll.BDP("!!03CJJ9 Mtge","MTG_TRANCHE_TYP_LONG")</f>
        <v>SEQ</v>
      </c>
      <c r="H29" t="str">
        <f>_xll.BDP("!!03CJJ9 Mtge","MTG_DEAL_TYP")</f>
        <v>AUTOS</v>
      </c>
      <c r="I29" t="str">
        <f>_xll.BDP("!!03CJJ9 Mtge","CRNCY")</f>
        <v>USD</v>
      </c>
      <c r="J29">
        <v>908700000</v>
      </c>
      <c r="K29">
        <f>_xll.BDP("!!03CJJ9 Mtge","CPN")</f>
        <v>6.4</v>
      </c>
      <c r="L29">
        <f>_xll.BDP("!!03CJJ9 Mtge","MTG_FACTOR")</f>
        <v>0.47145485310000002</v>
      </c>
      <c r="M29">
        <f>_xll.BDP("!!03CJJ9 Mtge","MTG_WAL")</f>
        <v>0.55249999999999999</v>
      </c>
      <c r="N29">
        <f>_xll.BDP("!!03CJJ9 Mtge","MTG_ORIG_WAL")</f>
        <v>2.0504661448007431</v>
      </c>
    </row>
    <row r="30" spans="1:14" x14ac:dyDescent="0.25">
      <c r="A30" t="str">
        <f>_xll.BDP("!!03FVL0 Mtge","ID_CUSIP")</f>
        <v>05555AAD7</v>
      </c>
      <c r="B30" t="str">
        <f>_xll.BDP("!!03FVL0 Mtge","SECURITY_NAME")</f>
        <v>BBCMS 2024-C26 A5</v>
      </c>
      <c r="C30">
        <f>_xll.BDP("!!03FVL0 Mtge","ISSUE_YLD")</f>
        <v>6.4663399999999998</v>
      </c>
      <c r="D30">
        <v>484700000</v>
      </c>
      <c r="E30" t="str">
        <f>_xll.BDP("!!03FVL0 Mtge","MATURITY")</f>
        <v>5/15/2057</v>
      </c>
      <c r="F30" t="str">
        <f>_xll.BDP("!!03FVL0 Mtge","ISSUE_DT")</f>
        <v>5/1/2024</v>
      </c>
      <c r="G30" t="str">
        <f>_xll.BDP("!!03FVL0 Mtge","MTG_TRANCHE_TYP_LONG")</f>
        <v>SEQ,SSNR</v>
      </c>
      <c r="H30" t="str">
        <f>_xll.BDP("!!03FVL0 Mtge","MTG_DEAL_TYP")</f>
        <v>CMBS-CONDUIT</v>
      </c>
      <c r="I30" t="str">
        <f>_xll.BDP("!!03FVL0 Mtge","CRNCY")</f>
        <v>USD</v>
      </c>
      <c r="J30">
        <v>484700000</v>
      </c>
      <c r="K30">
        <f>_xll.BDP("!!03FVL0 Mtge","CPN")</f>
        <v>5.8289999999999997</v>
      </c>
      <c r="L30">
        <f>_xll.BDP("!!03FVL0 Mtge","MTG_FACTOR")</f>
        <v>1</v>
      </c>
      <c r="M30">
        <f>_xll.BDP("!!03FVL0 Mtge","MTG_WAL")</f>
        <v>8.2268000000000008</v>
      </c>
      <c r="N30">
        <f>_xll.BDP("!!03FVL0 Mtge","MTG_ORIG_WAL")</f>
        <v>9.89</v>
      </c>
    </row>
    <row r="31" spans="1:14" x14ac:dyDescent="0.25">
      <c r="A31" t="str">
        <f>_xll.BDP("!!03GWPQ Mtge","ID_CUSIP")</f>
        <v>12654FAA8</v>
      </c>
      <c r="B31" t="str">
        <f>_xll.BDP("!!03GWPQ Mtge","SECURITY_NAME")</f>
        <v>COMM 2024-277P A</v>
      </c>
      <c r="C31">
        <f>_xll.BDP("!!03GWPQ Mtge","ISSUE_YLD")</f>
        <v>6.1467999999999998</v>
      </c>
      <c r="D31">
        <v>450000000</v>
      </c>
      <c r="E31" t="str">
        <f>_xll.BDP("!!03GWPQ Mtge","MATURITY")</f>
        <v>8/10/2044</v>
      </c>
      <c r="F31" t="str">
        <f>_xll.BDP("!!03GWPQ Mtge","ISSUE_DT")</f>
        <v>8/1/2024</v>
      </c>
      <c r="G31" t="str">
        <f>_xll.BDP("!!03GWPQ Mtge","MTG_TRANCHE_TYP_LONG")</f>
        <v>SEQ</v>
      </c>
      <c r="H31" t="str">
        <f>_xll.BDP("!!03GWPQ Mtge","MTG_DEAL_TYP")</f>
        <v>CMBS-SASB</v>
      </c>
      <c r="I31" t="str">
        <f>_xll.BDP("!!03GWPQ Mtge","CRNCY")</f>
        <v>USD</v>
      </c>
      <c r="J31">
        <v>450000000</v>
      </c>
      <c r="K31">
        <f>_xll.BDP("!!03GWPQ Mtge","CPN")</f>
        <v>6.3380000000000001</v>
      </c>
      <c r="L31">
        <f>_xll.BDP("!!03GWPQ Mtge","MTG_FACTOR")</f>
        <v>1</v>
      </c>
      <c r="M31">
        <f>_xll.BDP("!!03GWPQ Mtge","MTG_WAL")</f>
        <v>3.6333000000000002</v>
      </c>
      <c r="N31">
        <f>_xll.BDP("!!03GWPQ Mtge","MTG_ORIG_WAL")</f>
        <v>5.01</v>
      </c>
    </row>
    <row r="32" spans="1:14" x14ac:dyDescent="0.25">
      <c r="A32" t="str">
        <f>_xll.BDP("!!03CJJB Mtge","ID_CUSIP")</f>
        <v>29374LAC4</v>
      </c>
      <c r="B32" t="str">
        <f>_xll.BDP("!!03CJJB Mtge","SECURITY_NAME")</f>
        <v>EFF 2023-3 A3</v>
      </c>
      <c r="C32">
        <f>_xll.BDP("!!03CJJB Mtge","ISSUE_YLD")</f>
        <v>6.4989999999999997</v>
      </c>
      <c r="D32">
        <v>276780000</v>
      </c>
      <c r="E32" t="str">
        <f>_xll.BDP("!!03CJJB Mtge","MATURITY")</f>
        <v>6/20/2030</v>
      </c>
      <c r="F32" t="str">
        <f>_xll.BDP("!!03CJJB Mtge","ISSUE_DT")</f>
        <v>10/25/2023</v>
      </c>
      <c r="G32" t="str">
        <f>_xll.BDP("!!03CJJB Mtge","MTG_TRANCHE_TYP_LONG")</f>
        <v>SEQ</v>
      </c>
      <c r="H32" t="str">
        <f>_xll.BDP("!!03CJJB Mtge","MTG_DEAL_TYP")</f>
        <v>AUTOS</v>
      </c>
      <c r="I32" t="str">
        <f>_xll.BDP("!!03CJJB Mtge","CRNCY")</f>
        <v>USD</v>
      </c>
      <c r="J32">
        <v>276780000</v>
      </c>
      <c r="K32">
        <f>_xll.BDP("!!03CJJB Mtge","CPN")</f>
        <v>6.41</v>
      </c>
      <c r="L32">
        <f>_xll.BDP("!!03CJJB Mtge","MTG_FACTOR")</f>
        <v>1</v>
      </c>
      <c r="M32">
        <f>_xll.BDP("!!03CJJB Mtge","MTG_WAL")</f>
        <v>1.4755</v>
      </c>
      <c r="N32">
        <f>_xll.BDP("!!03CJJB Mtge","MTG_ORIG_WAL")</f>
        <v>3.8581272704321581</v>
      </c>
    </row>
    <row r="33" spans="1:14" x14ac:dyDescent="0.25">
      <c r="A33" t="str">
        <f>_xll.BDP("!!03D0JW Mtge","ID_CUSIP")</f>
        <v>55361AAV6</v>
      </c>
      <c r="B33" t="str">
        <f>_xll.BDP("!!03D0JW Mtge","SECURITY_NAME")</f>
        <v>MSWF 2023-2 XA</v>
      </c>
      <c r="C33">
        <f>_xll.BDP("!!03D0JW Mtge","ISSUE_YLD")</f>
        <v>6.4976000000000003</v>
      </c>
      <c r="D33">
        <v>638500146.96000004</v>
      </c>
      <c r="E33" t="str">
        <f>_xll.BDP("!!03D0JW Mtge","MATURITY")</f>
        <v>12/15/2056</v>
      </c>
      <c r="F33" t="str">
        <f>_xll.BDP("!!03D0JW Mtge","ISSUE_DT")</f>
        <v>12/1/2023</v>
      </c>
      <c r="G33" t="str">
        <f>_xll.BDP("!!03D0JW Mtge","MTG_TRANCHE_TYP_LONG")</f>
        <v>IO,CSTR,NTL</v>
      </c>
      <c r="H33" t="str">
        <f>_xll.BDP("!!03D0JW Mtge","MTG_DEAL_TYP")</f>
        <v>CMBS-CONDUIT</v>
      </c>
      <c r="I33" t="str">
        <f>_xll.BDP("!!03D0JW Mtge","CRNCY")</f>
        <v>USD</v>
      </c>
      <c r="J33">
        <v>640126000</v>
      </c>
      <c r="K33">
        <f>_xll.BDP("!!03D0JW Mtge","CPN")</f>
        <v>0.90696900000000003</v>
      </c>
      <c r="L33">
        <f>_xll.BDP("!!03D0JW Mtge","MTG_FACTOR")</f>
        <v>0.99746010470000002</v>
      </c>
      <c r="M33">
        <f>_xll.BDP("!!03D0JW Mtge","MTG_WAL")</f>
        <v>6.6772</v>
      </c>
      <c r="N33">
        <f>_xll.BDP("!!03D0JW Mtge","MTG_ORIG_WAL")</f>
        <v>8.6661069157900688</v>
      </c>
    </row>
    <row r="34" spans="1:14" x14ac:dyDescent="0.25">
      <c r="A34" t="str">
        <f>_xll.BDP("!!03BG3G Mtge","ID_CUSIP")</f>
        <v>238021AA7</v>
      </c>
      <c r="B34" t="str">
        <f>_xll.BDP("!!03BG3G Mtge","SECURITY_NAME")</f>
        <v>DATA 2023-CNTR A</v>
      </c>
      <c r="C34">
        <f>_xll.BDP("!!03BG3G Mtge","ISSUE_YLD")</f>
        <v>6.2107700000000001</v>
      </c>
      <c r="D34">
        <v>256900000</v>
      </c>
      <c r="E34" t="str">
        <f>_xll.BDP("!!03BG3G Mtge","MATURITY")</f>
        <v>8/12/2043</v>
      </c>
      <c r="F34" t="str">
        <f>_xll.BDP("!!03BG3G Mtge","ISSUE_DT")</f>
        <v>7/1/2023</v>
      </c>
      <c r="G34" t="str">
        <f>_xll.BDP("!!03BG3G Mtge","MTG_TRANCHE_TYP_LONG")</f>
        <v>CSTR</v>
      </c>
      <c r="H34" t="str">
        <f>_xll.BDP("!!03BG3G Mtge","MTG_DEAL_TYP")</f>
        <v>CMBS-SASB</v>
      </c>
      <c r="I34" t="str">
        <f>_xll.BDP("!!03BG3G Mtge","CRNCY")</f>
        <v>USD</v>
      </c>
      <c r="J34">
        <v>256900000</v>
      </c>
      <c r="K34">
        <f>_xll.BDP("!!03BG3G Mtge","CPN")</f>
        <v>5.7280769999999999</v>
      </c>
      <c r="L34">
        <f>_xll.BDP("!!03BG3G Mtge","MTG_FACTOR")</f>
        <v>1</v>
      </c>
      <c r="M34">
        <f>_xll.BDP("!!03BG3G Mtge","MTG_WAL")</f>
        <v>7.6388999999999996</v>
      </c>
      <c r="N34">
        <f>_xll.BDP("!!03BG3G Mtge","MTG_ORIG_WAL")</f>
        <v>10.06</v>
      </c>
    </row>
    <row r="35" spans="1:14" x14ac:dyDescent="0.25">
      <c r="A35" t="str">
        <f>_xll.BDP("!!03CRMF Mtge","ID_CUSIP")</f>
        <v>081926AC1</v>
      </c>
      <c r="B35" t="str">
        <f>_xll.BDP("!!03CRMF Mtge","SECURITY_NAME")</f>
        <v>BMARK 2023-V4 A3</v>
      </c>
      <c r="C35">
        <f>_xll.BDP("!!03CRMF Mtge","ISSUE_YLD")</f>
        <v>6.2359999999999998</v>
      </c>
      <c r="D35">
        <v>437880000</v>
      </c>
      <c r="E35" t="str">
        <f>_xll.BDP("!!03CRMF Mtge","MATURITY")</f>
        <v>11/15/2056</v>
      </c>
      <c r="F35" t="str">
        <f>_xll.BDP("!!03CRMF Mtge","ISSUE_DT")</f>
        <v>11/1/2023</v>
      </c>
      <c r="G35" t="str">
        <f>_xll.BDP("!!03CRMF Mtge","MTG_TRANCHE_TYP_LONG")</f>
        <v>AFC,SEQ</v>
      </c>
      <c r="H35" t="str">
        <f>_xll.BDP("!!03CRMF Mtge","MTG_DEAL_TYP")</f>
        <v>CMBS-CONDUIT</v>
      </c>
      <c r="I35" t="str">
        <f>_xll.BDP("!!03CRMF Mtge","CRNCY")</f>
        <v>USD</v>
      </c>
      <c r="J35">
        <v>437880000</v>
      </c>
      <c r="K35">
        <f>_xll.BDP("!!03CRMF Mtge","CPN")</f>
        <v>6.8409399999999998</v>
      </c>
      <c r="L35">
        <f>_xll.BDP("!!03CRMF Mtge","MTG_FACTOR")</f>
        <v>1</v>
      </c>
      <c r="M35">
        <f>_xll.BDP("!!03CRMF Mtge","MTG_WAL")</f>
        <v>2.6659999999999999</v>
      </c>
      <c r="N35">
        <f>_xll.BDP("!!03CRMF Mtge","MTG_ORIG_WAL")</f>
        <v>4.75</v>
      </c>
    </row>
    <row r="36" spans="1:14" x14ac:dyDescent="0.25">
      <c r="A36" t="str">
        <f>_xll.BDP("!!03DMQS Mtge","ID_CUSIP")</f>
        <v>07134FAA8</v>
      </c>
      <c r="B36" t="str">
        <f>_xll.BDP("!!03DMQS Mtge","SECURITY_NAME")</f>
        <v>BATLN 2024-25A A</v>
      </c>
      <c r="C36">
        <f>_xll.BDP("!!03DMQS Mtge","ISSUE_YLD")</f>
        <v>163</v>
      </c>
      <c r="D36">
        <v>256000000</v>
      </c>
      <c r="E36" t="str">
        <f>_xll.BDP("!!03DMQS Mtge","MATURITY")</f>
        <v>3/13/2037</v>
      </c>
      <c r="F36" t="str">
        <f>_xll.BDP("!!03DMQS Mtge","ISSUE_DT")</f>
        <v>3/13/2024</v>
      </c>
      <c r="G36" t="str">
        <f>_xll.BDP("!!03DMQS Mtge","MTG_TRANCHE_TYP_LONG")</f>
        <v>FLT</v>
      </c>
      <c r="H36" t="str">
        <f>_xll.BDP("!!03DMQS Mtge","MTG_DEAL_TYP")</f>
        <v>CLO</v>
      </c>
      <c r="I36" t="str">
        <f>_xll.BDP("!!03DMQS Mtge","CRNCY")</f>
        <v>USD</v>
      </c>
      <c r="J36">
        <v>256000000</v>
      </c>
      <c r="K36">
        <f>_xll.BDP("!!03DMQS Mtge","CPN")</f>
        <v>5.5144399999999996</v>
      </c>
      <c r="L36">
        <f>_xll.BDP("!!03DMQS Mtge","MTG_FACTOR")</f>
        <v>1</v>
      </c>
      <c r="M36">
        <f>_xll.BDP("!!03DMQS Mtge","MTG_WAL")</f>
        <v>4.3808999999999996</v>
      </c>
      <c r="N36">
        <f>_xll.BDP("!!03DMQS Mtge","MTG_ORIG_WAL")</f>
        <v>6.46</v>
      </c>
    </row>
    <row r="37" spans="1:14" x14ac:dyDescent="0.25">
      <c r="A37" t="str">
        <f>_xll.BDP("!!031CS1 Mtge","ID_CUSIP")</f>
        <v>61692CBK3</v>
      </c>
      <c r="B37" t="str">
        <f>_xll.BDP("!!031CS1 Mtge","SECURITY_NAME")</f>
        <v>MSC 2021-L6 XA</v>
      </c>
      <c r="C37">
        <f>_xll.BDP("!!031CS1 Mtge","ISSUE_YLD")</f>
        <v>105</v>
      </c>
      <c r="D37">
        <v>491208558.54000002</v>
      </c>
      <c r="E37" t="str">
        <f>_xll.BDP("!!031CS1 Mtge","MATURITY")</f>
        <v>6/15/2054</v>
      </c>
      <c r="F37" t="str">
        <f>_xll.BDP("!!031CS1 Mtge","ISSUE_DT")</f>
        <v>7/1/2021</v>
      </c>
      <c r="G37" t="str">
        <f>_xll.BDP("!!031CS1 Mtge","MTG_TRANCHE_TYP_LONG")</f>
        <v>IO,CSTR,NTL</v>
      </c>
      <c r="H37" t="str">
        <f>_xll.BDP("!!031CS1 Mtge","MTG_DEAL_TYP")</f>
        <v>CMBS-CONDUIT</v>
      </c>
      <c r="I37" t="str">
        <f>_xll.BDP("!!031CS1 Mtge","CRNCY")</f>
        <v>USD</v>
      </c>
      <c r="J37">
        <v>535728000</v>
      </c>
      <c r="K37">
        <f>_xll.BDP("!!031CS1 Mtge","CPN")</f>
        <v>1.1407560000000001</v>
      </c>
      <c r="L37">
        <f>_xll.BDP("!!031CS1 Mtge","MTG_FACTOR")</f>
        <v>0.91689916999999999</v>
      </c>
      <c r="M37">
        <f>_xll.BDP("!!031CS1 Mtge","MTG_WAL")</f>
        <v>3.8498999999999999</v>
      </c>
      <c r="N37">
        <f>_xll.BDP("!!031CS1 Mtge","MTG_ORIG_WAL")</f>
        <v>10.01</v>
      </c>
    </row>
    <row r="38" spans="1:14" x14ac:dyDescent="0.25">
      <c r="A38" t="str">
        <f>_xll.BDP("!!03C7L1 Mtge","ID_CUSIP")</f>
        <v>06211EAA9</v>
      </c>
      <c r="B38" t="str">
        <f>_xll.BDP("!!03C7L1 Mtge","SECURITY_NAME")</f>
        <v>BANK5 2023-5YR3 A2</v>
      </c>
      <c r="C38">
        <f>_xll.BDP("!!03C7L1 Mtge","ISSUE_YLD")</f>
        <v>6.0265599999999999</v>
      </c>
      <c r="D38">
        <v>255327415.41</v>
      </c>
      <c r="E38" t="str">
        <f>_xll.BDP("!!03C7L1 Mtge","MATURITY")</f>
        <v>9/15/2056</v>
      </c>
      <c r="F38" t="str">
        <f>_xll.BDP("!!03C7L1 Mtge","ISSUE_DT")</f>
        <v>9/1/2023</v>
      </c>
      <c r="G38" t="str">
        <f>_xll.BDP("!!03C7L1 Mtge","MTG_TRANCHE_TYP_LONG")</f>
        <v>SEQ</v>
      </c>
      <c r="H38" t="str">
        <f>_xll.BDP("!!03C7L1 Mtge","MTG_DEAL_TYP")</f>
        <v>CMBS-CONDUIT</v>
      </c>
      <c r="I38" t="str">
        <f>_xll.BDP("!!03C7L1 Mtge","CRNCY")</f>
        <v>USD</v>
      </c>
      <c r="J38">
        <v>255600000</v>
      </c>
      <c r="K38">
        <f>_xll.BDP("!!03C7L1 Mtge","CPN")</f>
        <v>6.2549999999999999</v>
      </c>
      <c r="L38">
        <f>_xll.BDP("!!03C7L1 Mtge","MTG_FACTOR")</f>
        <v>0.99893355009999996</v>
      </c>
      <c r="M38">
        <f>_xll.BDP("!!03C7L1 Mtge","MTG_WAL")</f>
        <v>2.4756999999999998</v>
      </c>
      <c r="N38">
        <f>_xll.BDP("!!03C7L1 Mtge","MTG_ORIG_WAL")</f>
        <v>4.6630599999999998</v>
      </c>
    </row>
    <row r="39" spans="1:14" x14ac:dyDescent="0.25">
      <c r="A39" t="str">
        <f>_xll.BDP("!!03D120 Mtge","ID_CUSIP")</f>
        <v>08163WAH8</v>
      </c>
      <c r="B39" t="str">
        <f>_xll.BDP("!!03D120 Mtge","SECURITY_NAME")</f>
        <v>BMARK 2023-B40 XA</v>
      </c>
      <c r="C39">
        <f>_xll.BDP("!!03D120 Mtge","ISSUE_YLD")</f>
        <v>6.5226231779303863</v>
      </c>
      <c r="D39">
        <v>311276505.07999998</v>
      </c>
      <c r="E39" t="str">
        <f>_xll.BDP("!!03D120 Mtge","MATURITY")</f>
        <v>12/15/2056</v>
      </c>
      <c r="F39" t="str">
        <f>_xll.BDP("!!03D120 Mtge","ISSUE_DT")</f>
        <v>12/1/2023</v>
      </c>
      <c r="G39" t="str">
        <f>_xll.BDP("!!03D120 Mtge","MTG_TRANCHE_TYP_LONG")</f>
        <v>IO,CSTR,NTL</v>
      </c>
      <c r="H39" t="str">
        <f>_xll.BDP("!!03D120 Mtge","MTG_DEAL_TYP")</f>
        <v>CMBS-CONDUIT</v>
      </c>
      <c r="I39" t="str">
        <f>_xll.BDP("!!03D120 Mtge","CRNCY")</f>
        <v>USD</v>
      </c>
      <c r="J39">
        <v>322129000</v>
      </c>
      <c r="K39">
        <f>_xll.BDP("!!03D120 Mtge","CPN")</f>
        <v>1.173065</v>
      </c>
      <c r="L39">
        <f>_xll.BDP("!!03D120 Mtge","MTG_FACTOR")</f>
        <v>0.96631009649999999</v>
      </c>
      <c r="M39">
        <f>_xll.BDP("!!03D120 Mtge","MTG_WAL")</f>
        <v>4.8978999999999999</v>
      </c>
      <c r="N39">
        <f>_xll.BDP("!!03D120 Mtge","MTG_ORIG_WAL")</f>
        <v>6.8048670082592713</v>
      </c>
    </row>
    <row r="40" spans="1:14" x14ac:dyDescent="0.25">
      <c r="A40" t="str">
        <f>_xll.BDP("!!03G85B Mtge","ID_CUSIP")</f>
        <v>22536VAA6</v>
      </c>
      <c r="B40" t="str">
        <f>_xll.BDP("!!03G85B Mtge","SECURITY_NAME")</f>
        <v>CAALT 2024-2A A</v>
      </c>
      <c r="C40">
        <f>_xll.BDP("!!03G85B Mtge","ISSUE_YLD")</f>
        <v>6.0250000000000004</v>
      </c>
      <c r="D40">
        <v>272440000</v>
      </c>
      <c r="E40" t="str">
        <f>_xll.BDP("!!03G85B Mtge","MATURITY")</f>
        <v>6/15/2034</v>
      </c>
      <c r="F40" t="str">
        <f>_xll.BDP("!!03G85B Mtge","ISSUE_DT")</f>
        <v>6/20/2024</v>
      </c>
      <c r="G40" t="str">
        <f>_xll.BDP("!!03G85B Mtge","MTG_TRANCHE_TYP_LONG")</f>
        <v>SEQ</v>
      </c>
      <c r="H40" t="str">
        <f>_xll.BDP("!!03G85B Mtge","MTG_DEAL_TYP")</f>
        <v>AUTOS</v>
      </c>
      <c r="I40" t="str">
        <f>_xll.BDP("!!03G85B Mtge","CRNCY")</f>
        <v>USD</v>
      </c>
      <c r="J40">
        <v>272440000</v>
      </c>
      <c r="K40">
        <f>_xll.BDP("!!03G85B Mtge","CPN")</f>
        <v>5.95</v>
      </c>
      <c r="L40">
        <f>_xll.BDP("!!03G85B Mtge","MTG_FACTOR")</f>
        <v>1</v>
      </c>
      <c r="M40">
        <f>_xll.BDP("!!03G85B Mtge","MTG_WAL")</f>
        <v>1.0016</v>
      </c>
      <c r="N40">
        <f>_xll.BDP("!!03G85B Mtge","MTG_ORIG_WAL")</f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5" x14ac:dyDescent="0.25"/>
  <cols>
    <col min="1" max="1" width="11.42578125" customWidth="1"/>
    <col min="2" max="3" width="38" customWidth="1"/>
    <col min="4" max="4" width="76.140625" customWidth="1"/>
  </cols>
  <sheetData>
    <row r="1" spans="1:4" x14ac:dyDescent="0.25">
      <c r="A1" s="5" t="s">
        <v>14</v>
      </c>
      <c r="B1" s="5"/>
      <c r="C1" s="5"/>
      <c r="D1" s="5"/>
    </row>
    <row r="2" spans="1:4" x14ac:dyDescent="0.25">
      <c r="A2" s="4" t="s">
        <v>15</v>
      </c>
      <c r="B2" s="3"/>
      <c r="C2" s="3"/>
      <c r="D2" s="3"/>
    </row>
    <row r="3" spans="1:4" x14ac:dyDescent="0.25">
      <c r="A3" s="4"/>
      <c r="B3" s="3"/>
      <c r="C3" s="3"/>
      <c r="D3" s="3"/>
    </row>
    <row r="4" spans="1:4" x14ac:dyDescent="0.25">
      <c r="A4" s="4" t="s">
        <v>16</v>
      </c>
      <c r="B4" s="3"/>
      <c r="C4" s="3"/>
      <c r="D4" s="3"/>
    </row>
    <row r="5" spans="1:4" x14ac:dyDescent="0.25">
      <c r="A5" s="4" t="s">
        <v>17</v>
      </c>
      <c r="B5" s="3"/>
      <c r="C5" s="3"/>
      <c r="D5" s="3"/>
    </row>
    <row r="6" spans="1:4" x14ac:dyDescent="0.25">
      <c r="A6" s="4"/>
      <c r="B6" s="3"/>
      <c r="C6" s="3"/>
      <c r="D6" s="3"/>
    </row>
    <row r="7" spans="1:4" x14ac:dyDescent="0.25">
      <c r="A7" s="4"/>
      <c r="B7" s="3"/>
      <c r="C7" s="3"/>
      <c r="D7" s="3"/>
    </row>
    <row r="8" spans="1:4" x14ac:dyDescent="0.25">
      <c r="A8" s="4" t="s">
        <v>18</v>
      </c>
      <c r="B8" s="3"/>
      <c r="C8" s="3"/>
      <c r="D8" s="3"/>
    </row>
    <row r="9" spans="1:4" x14ac:dyDescent="0.25">
      <c r="A9" s="4"/>
      <c r="B9" s="3"/>
      <c r="C9" s="3"/>
      <c r="D9" s="3"/>
    </row>
    <row r="10" spans="1:4" x14ac:dyDescent="0.25">
      <c r="A10" s="2" t="s">
        <v>19</v>
      </c>
      <c r="B10" s="3"/>
      <c r="C10" s="3"/>
      <c r="D10" s="3"/>
    </row>
    <row r="11" spans="1:4" x14ac:dyDescent="0.25">
      <c r="A11" s="1" t="s">
        <v>20</v>
      </c>
      <c r="B11" s="3"/>
      <c r="C11" s="3"/>
      <c r="D11" s="3"/>
    </row>
    <row r="12" spans="1:4" x14ac:dyDescent="0.25">
      <c r="A12" s="1" t="s">
        <v>21</v>
      </c>
      <c r="B12" s="3"/>
      <c r="C12" s="3"/>
      <c r="D12" s="3"/>
    </row>
    <row r="13" spans="1:4" x14ac:dyDescent="0.25">
      <c r="A13" s="1" t="s">
        <v>22</v>
      </c>
      <c r="B13" s="3"/>
      <c r="C13" s="3"/>
      <c r="D13" s="3"/>
    </row>
    <row r="14" spans="1:4" ht="30" x14ac:dyDescent="0.25">
      <c r="A14" s="6" t="s">
        <v>23</v>
      </c>
      <c r="B14" s="6" t="s">
        <v>7</v>
      </c>
      <c r="C14" s="6" t="s">
        <v>24</v>
      </c>
      <c r="D14" s="6" t="s">
        <v>25</v>
      </c>
    </row>
    <row r="15" spans="1:4" x14ac:dyDescent="0.25">
      <c r="A15" s="6" t="s">
        <v>23</v>
      </c>
      <c r="B15" s="6" t="s">
        <v>26</v>
      </c>
      <c r="C15" s="6" t="s">
        <v>27</v>
      </c>
      <c r="D15" s="6" t="s">
        <v>28</v>
      </c>
    </row>
    <row r="16" spans="1:4" x14ac:dyDescent="0.25">
      <c r="A16" s="6" t="s">
        <v>23</v>
      </c>
      <c r="B16" s="6" t="s">
        <v>29</v>
      </c>
      <c r="C16" s="6" t="s">
        <v>30</v>
      </c>
      <c r="D16" s="6" t="s">
        <v>31</v>
      </c>
    </row>
    <row r="17" spans="1:4" x14ac:dyDescent="0.25">
      <c r="A17" s="6" t="s">
        <v>23</v>
      </c>
      <c r="B17" s="6" t="s">
        <v>5</v>
      </c>
      <c r="C17" s="6" t="s">
        <v>32</v>
      </c>
      <c r="D17" s="6" t="s">
        <v>33</v>
      </c>
    </row>
    <row r="18" spans="1:4" x14ac:dyDescent="0.25">
      <c r="A18" s="6" t="s">
        <v>23</v>
      </c>
      <c r="B18" s="6" t="s">
        <v>4</v>
      </c>
      <c r="C18" s="6" t="s">
        <v>34</v>
      </c>
      <c r="D18" s="6" t="s">
        <v>35</v>
      </c>
    </row>
    <row r="19" spans="1:4" x14ac:dyDescent="0.25">
      <c r="A19" s="6" t="s">
        <v>23</v>
      </c>
      <c r="B19" s="6" t="s">
        <v>36</v>
      </c>
      <c r="C19" s="6" t="s">
        <v>34</v>
      </c>
      <c r="D19" s="6" t="s">
        <v>37</v>
      </c>
    </row>
    <row r="20" spans="1:4" x14ac:dyDescent="0.25">
      <c r="A20" s="6" t="s">
        <v>23</v>
      </c>
      <c r="B20" s="6" t="s">
        <v>38</v>
      </c>
      <c r="C20" s="6" t="s">
        <v>34</v>
      </c>
      <c r="D20" s="6">
        <v>6</v>
      </c>
    </row>
  </sheetData>
  <mergeCells count="12">
    <mergeCell ref="A12:D12"/>
    <mergeCell ref="A13:D13"/>
    <mergeCell ref="A7:D7"/>
    <mergeCell ref="A8:D8"/>
    <mergeCell ref="A9:D9"/>
    <mergeCell ref="A10:D10"/>
    <mergeCell ref="A11:D1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Mortgages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Brett Wilzbach</cp:lastModifiedBy>
  <dcterms:created xsi:type="dcterms:W3CDTF">2013-04-03T15:49:21Z</dcterms:created>
  <dcterms:modified xsi:type="dcterms:W3CDTF">2025-12-19T18:41:47Z</dcterms:modified>
</cp:coreProperties>
</file>